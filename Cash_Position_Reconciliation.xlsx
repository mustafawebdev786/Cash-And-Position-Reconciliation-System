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T S T\Desktop\data and business intelligence projects\Cash &amp; Position Reconciliation Automation\"/>
    </mc:Choice>
  </mc:AlternateContent>
  <bookViews>
    <workbookView xWindow="0" yWindow="0" windowWidth="20490" windowHeight="7755" activeTab="3"/>
  </bookViews>
  <sheets>
    <sheet name="Internal_Ledger" sheetId="1" r:id="rId1"/>
    <sheet name="Custodian_Statement" sheetId="2" r:id="rId2"/>
    <sheet name="Reconciliation" sheetId="3" r:id="rId3"/>
    <sheet name="Dashboard" sheetId="4" r:id="rId4"/>
  </sheets>
  <definedNames>
    <definedName name="Slicer_Account">#N/A</definedName>
    <definedName name="Slicer_Date">#N/A</definedName>
    <definedName name="Slicer_Security">#N/A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3" l="1"/>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2" i="3"/>
  <c r="A101" i="3"/>
  <c r="F101" i="3" s="1"/>
  <c r="A100" i="3"/>
  <c r="G100" i="3" s="1"/>
  <c r="A99" i="3"/>
  <c r="B99" i="3" s="1"/>
  <c r="A98" i="3"/>
  <c r="F98" i="3" s="1"/>
  <c r="A97" i="3"/>
  <c r="F97" i="3" s="1"/>
  <c r="A96" i="3"/>
  <c r="H96" i="3" s="1"/>
  <c r="A95" i="3"/>
  <c r="B95" i="3" s="1"/>
  <c r="A94" i="3"/>
  <c r="H94" i="3" s="1"/>
  <c r="A93" i="3"/>
  <c r="E93" i="3" s="1"/>
  <c r="A92" i="3"/>
  <c r="G92" i="3" s="1"/>
  <c r="A91" i="3"/>
  <c r="B91" i="3" s="1"/>
  <c r="A90" i="3"/>
  <c r="G90" i="3" s="1"/>
  <c r="A89" i="3"/>
  <c r="B89" i="3" s="1"/>
  <c r="A88" i="3"/>
  <c r="H88" i="3" s="1"/>
  <c r="A87" i="3"/>
  <c r="B87" i="3" s="1"/>
  <c r="A86" i="3"/>
  <c r="F86" i="3" s="1"/>
  <c r="A85" i="3"/>
  <c r="B85" i="3" s="1"/>
  <c r="A84" i="3"/>
  <c r="G84" i="3" s="1"/>
  <c r="A83" i="3"/>
  <c r="B83" i="3" s="1"/>
  <c r="A82" i="3"/>
  <c r="E82" i="3" s="1"/>
  <c r="A81" i="3"/>
  <c r="E81" i="3" s="1"/>
  <c r="A80" i="3"/>
  <c r="F80" i="3" s="1"/>
  <c r="A79" i="3"/>
  <c r="B79" i="3" s="1"/>
  <c r="A78" i="3"/>
  <c r="H78" i="3" s="1"/>
  <c r="A77" i="3"/>
  <c r="E77" i="3" s="1"/>
  <c r="A76" i="3"/>
  <c r="E76" i="3" s="1"/>
  <c r="A75" i="3"/>
  <c r="B75" i="3" s="1"/>
  <c r="A74" i="3"/>
  <c r="G74" i="3" s="1"/>
  <c r="A73" i="3"/>
  <c r="E73" i="3" s="1"/>
  <c r="A72" i="3"/>
  <c r="H72" i="3" s="1"/>
  <c r="A71" i="3"/>
  <c r="B71" i="3" s="1"/>
  <c r="A70" i="3"/>
  <c r="F70" i="3" s="1"/>
  <c r="A69" i="3"/>
  <c r="B69" i="3" s="1"/>
  <c r="A68" i="3"/>
  <c r="G68" i="3" s="1"/>
  <c r="A67" i="3"/>
  <c r="B67" i="3" s="1"/>
  <c r="A66" i="3"/>
  <c r="E66" i="3" s="1"/>
  <c r="A65" i="3"/>
  <c r="E65" i="3" s="1"/>
  <c r="A64" i="3"/>
  <c r="F64" i="3" s="1"/>
  <c r="A63" i="3"/>
  <c r="B63" i="3" s="1"/>
  <c r="A62" i="3"/>
  <c r="H62" i="3" s="1"/>
  <c r="A61" i="3"/>
  <c r="E61" i="3" s="1"/>
  <c r="A60" i="3"/>
  <c r="G60" i="3" s="1"/>
  <c r="A59" i="3"/>
  <c r="B59" i="3" s="1"/>
  <c r="A58" i="3"/>
  <c r="G58" i="3" s="1"/>
  <c r="A57" i="3"/>
  <c r="B57" i="3" s="1"/>
  <c r="A56" i="3"/>
  <c r="H56" i="3" s="1"/>
  <c r="A55" i="3"/>
  <c r="B55" i="3" s="1"/>
  <c r="A54" i="3"/>
  <c r="F54" i="3" s="1"/>
  <c r="A53" i="3"/>
  <c r="B53" i="3" s="1"/>
  <c r="A52" i="3"/>
  <c r="G52" i="3" s="1"/>
  <c r="A51" i="3"/>
  <c r="B51" i="3" s="1"/>
  <c r="A50" i="3"/>
  <c r="E50" i="3" s="1"/>
  <c r="A49" i="3"/>
  <c r="E49" i="3" s="1"/>
  <c r="A48" i="3"/>
  <c r="F48" i="3" s="1"/>
  <c r="A47" i="3"/>
  <c r="B47" i="3" s="1"/>
  <c r="A46" i="3"/>
  <c r="H46" i="3" s="1"/>
  <c r="A45" i="3"/>
  <c r="E45" i="3" s="1"/>
  <c r="A44" i="3"/>
  <c r="F44" i="3" s="1"/>
  <c r="A43" i="3"/>
  <c r="B43" i="3" s="1"/>
  <c r="A42" i="3"/>
  <c r="G42" i="3" s="1"/>
  <c r="A41" i="3"/>
  <c r="B41" i="3" s="1"/>
  <c r="A40" i="3"/>
  <c r="H40" i="3" s="1"/>
  <c r="A39" i="3"/>
  <c r="B39" i="3" s="1"/>
  <c r="A38" i="3"/>
  <c r="F38" i="3" s="1"/>
  <c r="A37" i="3"/>
  <c r="B37" i="3" s="1"/>
  <c r="A36" i="3"/>
  <c r="G36" i="3" s="1"/>
  <c r="A35" i="3"/>
  <c r="B35" i="3" s="1"/>
  <c r="A34" i="3"/>
  <c r="H34" i="3" s="1"/>
  <c r="A33" i="3"/>
  <c r="E33" i="3" s="1"/>
  <c r="A32" i="3"/>
  <c r="H32" i="3" s="1"/>
  <c r="A31" i="3"/>
  <c r="B31" i="3" s="1"/>
  <c r="A30" i="3"/>
  <c r="E30" i="3" s="1"/>
  <c r="A29" i="3"/>
  <c r="E29" i="3" s="1"/>
  <c r="A28" i="3"/>
  <c r="H28" i="3" s="1"/>
  <c r="A27" i="3"/>
  <c r="B27" i="3" s="1"/>
  <c r="A26" i="3"/>
  <c r="G26" i="3" s="1"/>
  <c r="A25" i="3"/>
  <c r="B25" i="3" s="1"/>
  <c r="A24" i="3"/>
  <c r="H24" i="3" s="1"/>
  <c r="A23" i="3"/>
  <c r="B23" i="3" s="1"/>
  <c r="A22" i="3"/>
  <c r="H22" i="3" s="1"/>
  <c r="A21" i="3"/>
  <c r="B21" i="3" s="1"/>
  <c r="A20" i="3"/>
  <c r="H20" i="3" s="1"/>
  <c r="A19" i="3"/>
  <c r="B19" i="3" s="1"/>
  <c r="A18" i="3"/>
  <c r="H18" i="3" s="1"/>
  <c r="A17" i="3"/>
  <c r="E17" i="3" s="1"/>
  <c r="A16" i="3"/>
  <c r="H16" i="3" s="1"/>
  <c r="A15" i="3"/>
  <c r="B15" i="3" s="1"/>
  <c r="A14" i="3"/>
  <c r="E14" i="3" s="1"/>
  <c r="A13" i="3"/>
  <c r="E13" i="3" s="1"/>
  <c r="A12" i="3"/>
  <c r="H12" i="3" s="1"/>
  <c r="A11" i="3"/>
  <c r="B11" i="3" s="1"/>
  <c r="A10" i="3"/>
  <c r="G10" i="3" s="1"/>
  <c r="A9" i="3"/>
  <c r="B9" i="3" s="1"/>
  <c r="A8" i="3"/>
  <c r="H8" i="3" s="1"/>
  <c r="A7" i="3"/>
  <c r="B7" i="3" s="1"/>
  <c r="A6" i="3"/>
  <c r="F6" i="3" s="1"/>
  <c r="A5" i="3"/>
  <c r="B5" i="3" s="1"/>
  <c r="A4" i="3"/>
  <c r="H4" i="3" s="1"/>
  <c r="A3" i="3"/>
  <c r="B3" i="3" s="1"/>
  <c r="A2" i="3"/>
  <c r="B2" i="3" s="1"/>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H98" i="3" l="1"/>
  <c r="B66" i="3"/>
  <c r="B18" i="3"/>
  <c r="C98" i="3"/>
  <c r="C90" i="3"/>
  <c r="C86" i="3"/>
  <c r="C78" i="3"/>
  <c r="C66" i="3"/>
  <c r="C62" i="3"/>
  <c r="C58" i="3"/>
  <c r="C54" i="3"/>
  <c r="C50" i="3"/>
  <c r="C46" i="3"/>
  <c r="C42" i="3"/>
  <c r="C38" i="3"/>
  <c r="C34" i="3"/>
  <c r="C30" i="3"/>
  <c r="C26" i="3"/>
  <c r="C22" i="3"/>
  <c r="C14" i="3"/>
  <c r="C10" i="3"/>
  <c r="C6" i="3"/>
  <c r="F52" i="3"/>
  <c r="G62" i="3"/>
  <c r="H76" i="3"/>
  <c r="B94" i="3"/>
  <c r="B78" i="3"/>
  <c r="B62" i="3"/>
  <c r="B46" i="3"/>
  <c r="B30" i="3"/>
  <c r="B14" i="3"/>
  <c r="C101" i="3"/>
  <c r="C97" i="3"/>
  <c r="C93" i="3"/>
  <c r="C89" i="3"/>
  <c r="C85" i="3"/>
  <c r="C81" i="3"/>
  <c r="C77" i="3"/>
  <c r="C73" i="3"/>
  <c r="C69" i="3"/>
  <c r="C65" i="3"/>
  <c r="C61" i="3"/>
  <c r="C57" i="3"/>
  <c r="C53" i="3"/>
  <c r="C49" i="3"/>
  <c r="C45" i="3"/>
  <c r="C41" i="3"/>
  <c r="C37" i="3"/>
  <c r="C33" i="3"/>
  <c r="C29" i="3"/>
  <c r="C25" i="3"/>
  <c r="C21" i="3"/>
  <c r="C17" i="3"/>
  <c r="C13" i="3"/>
  <c r="C9" i="3"/>
  <c r="C5" i="3"/>
  <c r="F74" i="3"/>
  <c r="B98" i="3"/>
  <c r="B50" i="3"/>
  <c r="C2" i="3"/>
  <c r="C94" i="3"/>
  <c r="C82" i="3"/>
  <c r="C70" i="3"/>
  <c r="C18" i="3"/>
  <c r="F30" i="3"/>
  <c r="G40" i="3"/>
  <c r="H54" i="3"/>
  <c r="J54" i="3" s="1"/>
  <c r="B90" i="3"/>
  <c r="B74" i="3"/>
  <c r="B58" i="3"/>
  <c r="B42" i="3"/>
  <c r="B26" i="3"/>
  <c r="B10" i="3"/>
  <c r="C100" i="3"/>
  <c r="C96" i="3"/>
  <c r="C92" i="3"/>
  <c r="C88" i="3"/>
  <c r="C84" i="3"/>
  <c r="C80" i="3"/>
  <c r="C76" i="3"/>
  <c r="C72" i="3"/>
  <c r="C68" i="3"/>
  <c r="C64" i="3"/>
  <c r="C60" i="3"/>
  <c r="C56" i="3"/>
  <c r="C52" i="3"/>
  <c r="C48" i="3"/>
  <c r="C44" i="3"/>
  <c r="C40" i="3"/>
  <c r="C36" i="3"/>
  <c r="C32" i="3"/>
  <c r="C28" i="3"/>
  <c r="C24" i="3"/>
  <c r="C20" i="3"/>
  <c r="C16" i="3"/>
  <c r="C12" i="3"/>
  <c r="C8" i="3"/>
  <c r="C4" i="3"/>
  <c r="G82" i="3"/>
  <c r="I82" i="3" s="1"/>
  <c r="B82" i="3"/>
  <c r="B34" i="3"/>
  <c r="C74" i="3"/>
  <c r="F10" i="3"/>
  <c r="G18" i="3"/>
  <c r="B86" i="3"/>
  <c r="B70" i="3"/>
  <c r="B54" i="3"/>
  <c r="B38" i="3"/>
  <c r="B22" i="3"/>
  <c r="B6" i="3"/>
  <c r="C99" i="3"/>
  <c r="C95" i="3"/>
  <c r="C91" i="3"/>
  <c r="C87" i="3"/>
  <c r="C83" i="3"/>
  <c r="C79" i="3"/>
  <c r="C75" i="3"/>
  <c r="C71" i="3"/>
  <c r="C67" i="3"/>
  <c r="C63" i="3"/>
  <c r="C59" i="3"/>
  <c r="C55" i="3"/>
  <c r="C51" i="3"/>
  <c r="C47" i="3"/>
  <c r="C43" i="3"/>
  <c r="C39" i="3"/>
  <c r="C35" i="3"/>
  <c r="C31" i="3"/>
  <c r="C27" i="3"/>
  <c r="C23" i="3"/>
  <c r="C19" i="3"/>
  <c r="C15" i="3"/>
  <c r="C11" i="3"/>
  <c r="C7" i="3"/>
  <c r="C3" i="3"/>
  <c r="E89" i="3"/>
  <c r="E57" i="3"/>
  <c r="E41" i="3"/>
  <c r="E25" i="3"/>
  <c r="E9" i="3"/>
  <c r="F93" i="3"/>
  <c r="H33" i="3"/>
  <c r="B2" i="4"/>
  <c r="I50" i="3"/>
  <c r="J98" i="3"/>
  <c r="E101" i="3"/>
  <c r="E85" i="3"/>
  <c r="E69" i="3"/>
  <c r="E53" i="3"/>
  <c r="I53" i="3" s="1"/>
  <c r="E37" i="3"/>
  <c r="E21" i="3"/>
  <c r="E5" i="3"/>
  <c r="F89" i="3"/>
  <c r="J89" i="3" s="1"/>
  <c r="F68" i="3"/>
  <c r="F46" i="3"/>
  <c r="F26" i="3"/>
  <c r="G98" i="3"/>
  <c r="G78" i="3"/>
  <c r="G56" i="3"/>
  <c r="G34" i="3"/>
  <c r="G14" i="3"/>
  <c r="I14" i="3" s="1"/>
  <c r="H92" i="3"/>
  <c r="H70" i="3"/>
  <c r="J70" i="3" s="1"/>
  <c r="H50" i="3"/>
  <c r="H30" i="3"/>
  <c r="J30" i="3" s="1"/>
  <c r="B101" i="3"/>
  <c r="B97" i="3"/>
  <c r="B93" i="3"/>
  <c r="B81" i="3"/>
  <c r="B77" i="3"/>
  <c r="B73" i="3"/>
  <c r="B65" i="3"/>
  <c r="B61" i="3"/>
  <c r="B49" i="3"/>
  <c r="B45" i="3"/>
  <c r="B33" i="3"/>
  <c r="B29" i="3"/>
  <c r="B17" i="3"/>
  <c r="B13" i="3"/>
  <c r="J38" i="3"/>
  <c r="J46" i="3"/>
  <c r="E97" i="3"/>
  <c r="F84" i="3"/>
  <c r="F62" i="3"/>
  <c r="J62" i="3" s="1"/>
  <c r="F42" i="3"/>
  <c r="F20" i="3"/>
  <c r="J20" i="3" s="1"/>
  <c r="G94" i="3"/>
  <c r="G72" i="3"/>
  <c r="G50" i="3"/>
  <c r="G30" i="3"/>
  <c r="I30" i="3" s="1"/>
  <c r="G8" i="3"/>
  <c r="H86" i="3"/>
  <c r="J86" i="3" s="1"/>
  <c r="H66" i="3"/>
  <c r="H44" i="3"/>
  <c r="H14" i="3"/>
  <c r="B100" i="3"/>
  <c r="B96" i="3"/>
  <c r="B92" i="3"/>
  <c r="B88" i="3"/>
  <c r="B84" i="3"/>
  <c r="B80" i="3"/>
  <c r="B76" i="3"/>
  <c r="B72" i="3"/>
  <c r="B68" i="3"/>
  <c r="B64" i="3"/>
  <c r="B60" i="3"/>
  <c r="B56" i="3"/>
  <c r="B52" i="3"/>
  <c r="B48" i="3"/>
  <c r="B44" i="3"/>
  <c r="B40" i="3"/>
  <c r="B36" i="3"/>
  <c r="B32" i="3"/>
  <c r="B28" i="3"/>
  <c r="B24" i="3"/>
  <c r="B20" i="3"/>
  <c r="B16" i="3"/>
  <c r="B12" i="3"/>
  <c r="B8" i="3"/>
  <c r="B4" i="3"/>
  <c r="J44" i="3"/>
  <c r="F78" i="3"/>
  <c r="J78" i="3" s="1"/>
  <c r="F58" i="3"/>
  <c r="F36" i="3"/>
  <c r="F14" i="3"/>
  <c r="G88" i="3"/>
  <c r="G66" i="3"/>
  <c r="I66" i="3" s="1"/>
  <c r="G46" i="3"/>
  <c r="G24" i="3"/>
  <c r="H2" i="3"/>
  <c r="H82" i="3"/>
  <c r="H60" i="3"/>
  <c r="H38" i="3"/>
  <c r="H10" i="3"/>
  <c r="H3" i="3"/>
  <c r="E3" i="3"/>
  <c r="F3" i="3"/>
  <c r="G3" i="3"/>
  <c r="H11" i="3"/>
  <c r="F11" i="3"/>
  <c r="G11" i="3"/>
  <c r="E11" i="3"/>
  <c r="I11" i="3" s="1"/>
  <c r="H19" i="3"/>
  <c r="E19" i="3"/>
  <c r="F19" i="3"/>
  <c r="G19" i="3"/>
  <c r="H27" i="3"/>
  <c r="F27" i="3"/>
  <c r="G27" i="3"/>
  <c r="E27" i="3"/>
  <c r="H35" i="3"/>
  <c r="F35" i="3"/>
  <c r="E35" i="3"/>
  <c r="G35" i="3"/>
  <c r="F39" i="3"/>
  <c r="E39" i="3"/>
  <c r="G39" i="3"/>
  <c r="H39" i="3"/>
  <c r="G47" i="3"/>
  <c r="H47" i="3"/>
  <c r="E47" i="3"/>
  <c r="G55" i="3"/>
  <c r="F55" i="3"/>
  <c r="E55" i="3"/>
  <c r="H55" i="3"/>
  <c r="G63" i="3"/>
  <c r="H63" i="3"/>
  <c r="E63" i="3"/>
  <c r="F71" i="3"/>
  <c r="E71" i="3"/>
  <c r="G71" i="3"/>
  <c r="H71" i="3"/>
  <c r="G79" i="3"/>
  <c r="H79" i="3"/>
  <c r="E79" i="3"/>
  <c r="G87" i="3"/>
  <c r="F87" i="3"/>
  <c r="E87" i="3"/>
  <c r="H87" i="3"/>
  <c r="G95" i="3"/>
  <c r="H95" i="3"/>
  <c r="F95" i="3"/>
  <c r="E95" i="3"/>
  <c r="H7" i="3"/>
  <c r="F7" i="3"/>
  <c r="E7" i="3"/>
  <c r="G7" i="3"/>
  <c r="H15" i="3"/>
  <c r="G15" i="3"/>
  <c r="E15" i="3"/>
  <c r="F15" i="3"/>
  <c r="H23" i="3"/>
  <c r="G23" i="3"/>
  <c r="F23" i="3"/>
  <c r="E23" i="3"/>
  <c r="H31" i="3"/>
  <c r="G31" i="3"/>
  <c r="E31" i="3"/>
  <c r="F43" i="3"/>
  <c r="H43" i="3"/>
  <c r="G43" i="3"/>
  <c r="E43" i="3"/>
  <c r="H51" i="3"/>
  <c r="E51" i="3"/>
  <c r="F51" i="3"/>
  <c r="G51" i="3"/>
  <c r="F59" i="3"/>
  <c r="J59" i="3" s="1"/>
  <c r="G59" i="3"/>
  <c r="E59" i="3"/>
  <c r="H59" i="3"/>
  <c r="H67" i="3"/>
  <c r="F67" i="3"/>
  <c r="E67" i="3"/>
  <c r="G67" i="3"/>
  <c r="F75" i="3"/>
  <c r="H75" i="3"/>
  <c r="G75" i="3"/>
  <c r="E75" i="3"/>
  <c r="H83" i="3"/>
  <c r="E83" i="3"/>
  <c r="F83" i="3"/>
  <c r="G83" i="3"/>
  <c r="H91" i="3"/>
  <c r="G91" i="3"/>
  <c r="F91" i="3"/>
  <c r="E91" i="3"/>
  <c r="H99" i="3"/>
  <c r="F99" i="3"/>
  <c r="E99" i="3"/>
  <c r="G99" i="3"/>
  <c r="F79" i="3"/>
  <c r="F63" i="3"/>
  <c r="J63" i="3" s="1"/>
  <c r="F47" i="3"/>
  <c r="F31" i="3"/>
  <c r="F4" i="3"/>
  <c r="J4" i="3" s="1"/>
  <c r="E100" i="3"/>
  <c r="I100" i="3" s="1"/>
  <c r="E92" i="3"/>
  <c r="I92" i="3" s="1"/>
  <c r="E84" i="3"/>
  <c r="I84" i="3" s="1"/>
  <c r="E80" i="3"/>
  <c r="E72" i="3"/>
  <c r="I72" i="3" s="1"/>
  <c r="E52" i="3"/>
  <c r="I52" i="3" s="1"/>
  <c r="E44" i="3"/>
  <c r="E40" i="3"/>
  <c r="I40" i="3" s="1"/>
  <c r="E36" i="3"/>
  <c r="I36" i="3" s="1"/>
  <c r="E32" i="3"/>
  <c r="E28" i="3"/>
  <c r="E24" i="3"/>
  <c r="E20" i="3"/>
  <c r="E16" i="3"/>
  <c r="E12" i="3"/>
  <c r="E8" i="3"/>
  <c r="E4" i="3"/>
  <c r="I4" i="3" s="1"/>
  <c r="K4" i="3" s="1"/>
  <c r="F100" i="3"/>
  <c r="F96" i="3"/>
  <c r="J96" i="3" s="1"/>
  <c r="F92" i="3"/>
  <c r="J92" i="3" s="1"/>
  <c r="F88" i="3"/>
  <c r="J88" i="3" s="1"/>
  <c r="F56" i="3"/>
  <c r="J56" i="3" s="1"/>
  <c r="F24" i="3"/>
  <c r="J24" i="3" s="1"/>
  <c r="F8" i="3"/>
  <c r="J8" i="3" s="1"/>
  <c r="G76" i="3"/>
  <c r="I76" i="3" s="1"/>
  <c r="K76" i="3" s="1"/>
  <c r="G44" i="3"/>
  <c r="G12" i="3"/>
  <c r="H64" i="3"/>
  <c r="J64" i="3" s="1"/>
  <c r="H5" i="3"/>
  <c r="G5" i="3"/>
  <c r="F5" i="3"/>
  <c r="H13" i="3"/>
  <c r="G13" i="3"/>
  <c r="I13" i="3" s="1"/>
  <c r="F13" i="3"/>
  <c r="H21" i="3"/>
  <c r="G21" i="3"/>
  <c r="I21" i="3" s="1"/>
  <c r="F21" i="3"/>
  <c r="J21" i="3" s="1"/>
  <c r="H29" i="3"/>
  <c r="G29" i="3"/>
  <c r="I29" i="3" s="1"/>
  <c r="F29" i="3"/>
  <c r="G33" i="3"/>
  <c r="I33" i="3" s="1"/>
  <c r="F33" i="3"/>
  <c r="J33" i="3" s="1"/>
  <c r="H37" i="3"/>
  <c r="G37" i="3"/>
  <c r="I37" i="3" s="1"/>
  <c r="F37" i="3"/>
  <c r="J37" i="3" s="1"/>
  <c r="H41" i="3"/>
  <c r="G41" i="3"/>
  <c r="F41" i="3"/>
  <c r="H45" i="3"/>
  <c r="G45" i="3"/>
  <c r="I45" i="3" s="1"/>
  <c r="F45" i="3"/>
  <c r="H49" i="3"/>
  <c r="G49" i="3"/>
  <c r="I49" i="3" s="1"/>
  <c r="F49" i="3"/>
  <c r="H53" i="3"/>
  <c r="G53" i="3"/>
  <c r="F53" i="3"/>
  <c r="J53" i="3" s="1"/>
  <c r="H57" i="3"/>
  <c r="G57" i="3"/>
  <c r="I57" i="3" s="1"/>
  <c r="F57" i="3"/>
  <c r="H61" i="3"/>
  <c r="G61" i="3"/>
  <c r="I61" i="3" s="1"/>
  <c r="F61" i="3"/>
  <c r="H65" i="3"/>
  <c r="G65" i="3"/>
  <c r="I65" i="3" s="1"/>
  <c r="F65" i="3"/>
  <c r="H69" i="3"/>
  <c r="G69" i="3"/>
  <c r="F69" i="3"/>
  <c r="J69" i="3" s="1"/>
  <c r="H73" i="3"/>
  <c r="G73" i="3"/>
  <c r="I73" i="3" s="1"/>
  <c r="F73" i="3"/>
  <c r="H77" i="3"/>
  <c r="G77" i="3"/>
  <c r="I77" i="3" s="1"/>
  <c r="F77" i="3"/>
  <c r="H81" i="3"/>
  <c r="G81" i="3"/>
  <c r="I81" i="3" s="1"/>
  <c r="F81" i="3"/>
  <c r="H85" i="3"/>
  <c r="G85" i="3"/>
  <c r="I85" i="3" s="1"/>
  <c r="F85" i="3"/>
  <c r="J85" i="3" s="1"/>
  <c r="H89" i="3"/>
  <c r="G89" i="3"/>
  <c r="H93" i="3"/>
  <c r="J93" i="3" s="1"/>
  <c r="G93" i="3"/>
  <c r="I93" i="3" s="1"/>
  <c r="H97" i="3"/>
  <c r="J97" i="3" s="1"/>
  <c r="G97" i="3"/>
  <c r="H101" i="3"/>
  <c r="J101" i="3" s="1"/>
  <c r="G101" i="3"/>
  <c r="I101" i="3" s="1"/>
  <c r="F82" i="3"/>
  <c r="F76" i="3"/>
  <c r="J76" i="3" s="1"/>
  <c r="F66" i="3"/>
  <c r="J66" i="3" s="1"/>
  <c r="F60" i="3"/>
  <c r="J60" i="3" s="1"/>
  <c r="F50" i="3"/>
  <c r="F34" i="3"/>
  <c r="J34" i="3" s="1"/>
  <c r="F28" i="3"/>
  <c r="J28" i="3" s="1"/>
  <c r="F18" i="3"/>
  <c r="J18" i="3" s="1"/>
  <c r="F12" i="3"/>
  <c r="J12" i="3" s="1"/>
  <c r="G2" i="3"/>
  <c r="G96" i="3"/>
  <c r="G86" i="3"/>
  <c r="G80" i="3"/>
  <c r="G70" i="3"/>
  <c r="G64" i="3"/>
  <c r="G54" i="3"/>
  <c r="G48" i="3"/>
  <c r="G38" i="3"/>
  <c r="G32" i="3"/>
  <c r="G22" i="3"/>
  <c r="G16" i="3"/>
  <c r="G6" i="3"/>
  <c r="H100" i="3"/>
  <c r="H90" i="3"/>
  <c r="H84" i="3"/>
  <c r="H74" i="3"/>
  <c r="J74" i="3" s="1"/>
  <c r="H68" i="3"/>
  <c r="J68" i="3" s="1"/>
  <c r="H58" i="3"/>
  <c r="J58" i="3" s="1"/>
  <c r="H52" i="3"/>
  <c r="H42" i="3"/>
  <c r="J42" i="3" s="1"/>
  <c r="H36" i="3"/>
  <c r="H26" i="3"/>
  <c r="J26" i="3" s="1"/>
  <c r="H6" i="3"/>
  <c r="J6" i="3" s="1"/>
  <c r="E96" i="3"/>
  <c r="E88" i="3"/>
  <c r="E68" i="3"/>
  <c r="I68" i="3" s="1"/>
  <c r="E64" i="3"/>
  <c r="E60" i="3"/>
  <c r="I60" i="3" s="1"/>
  <c r="E56" i="3"/>
  <c r="I56" i="3" s="1"/>
  <c r="E48" i="3"/>
  <c r="F72" i="3"/>
  <c r="J72" i="3" s="1"/>
  <c r="F40" i="3"/>
  <c r="J40" i="3" s="1"/>
  <c r="G28" i="3"/>
  <c r="H80" i="3"/>
  <c r="J80" i="3" s="1"/>
  <c r="H48" i="3"/>
  <c r="J48" i="3" s="1"/>
  <c r="H9" i="3"/>
  <c r="G9" i="3"/>
  <c r="F9" i="3"/>
  <c r="J9" i="3" s="1"/>
  <c r="H17" i="3"/>
  <c r="G17" i="3"/>
  <c r="I17" i="3" s="1"/>
  <c r="F17" i="3"/>
  <c r="H25" i="3"/>
  <c r="G25" i="3"/>
  <c r="F25" i="3"/>
  <c r="E2" i="3"/>
  <c r="I2" i="3" s="1"/>
  <c r="E98" i="3"/>
  <c r="E94" i="3"/>
  <c r="E90" i="3"/>
  <c r="I90" i="3" s="1"/>
  <c r="E86" i="3"/>
  <c r="E78" i="3"/>
  <c r="I78" i="3" s="1"/>
  <c r="E74" i="3"/>
  <c r="I74" i="3" s="1"/>
  <c r="E70" i="3"/>
  <c r="I70" i="3" s="1"/>
  <c r="E62" i="3"/>
  <c r="E58" i="3"/>
  <c r="I58" i="3" s="1"/>
  <c r="E54" i="3"/>
  <c r="E46" i="3"/>
  <c r="E42" i="3"/>
  <c r="I42" i="3" s="1"/>
  <c r="E38" i="3"/>
  <c r="I38" i="3" s="1"/>
  <c r="E34" i="3"/>
  <c r="E26" i="3"/>
  <c r="I26" i="3" s="1"/>
  <c r="E22" i="3"/>
  <c r="E18" i="3"/>
  <c r="I18" i="3" s="1"/>
  <c r="K18" i="3" s="1"/>
  <c r="E10" i="3"/>
  <c r="I10" i="3" s="1"/>
  <c r="E6" i="3"/>
  <c r="I6" i="3" s="1"/>
  <c r="F2" i="3"/>
  <c r="F94" i="3"/>
  <c r="J94" i="3" s="1"/>
  <c r="F90" i="3"/>
  <c r="F32" i="3"/>
  <c r="J32" i="3" s="1"/>
  <c r="F22" i="3"/>
  <c r="J22" i="3" s="1"/>
  <c r="F16" i="3"/>
  <c r="J16" i="3" s="1"/>
  <c r="G20" i="3"/>
  <c r="G4" i="3"/>
  <c r="I62" i="3" l="1"/>
  <c r="K62" i="3" s="1"/>
  <c r="J36" i="3"/>
  <c r="J75" i="3"/>
  <c r="I89" i="3"/>
  <c r="J31" i="3"/>
  <c r="I87" i="3"/>
  <c r="J10" i="3"/>
  <c r="K30" i="3"/>
  <c r="I9" i="3"/>
  <c r="I46" i="3"/>
  <c r="K46" i="3" s="1"/>
  <c r="I34" i="3"/>
  <c r="K34" i="3" s="1"/>
  <c r="I94" i="3"/>
  <c r="K94" i="3" s="1"/>
  <c r="I25" i="3"/>
  <c r="J52" i="3"/>
  <c r="J84" i="3"/>
  <c r="J50" i="3"/>
  <c r="K50" i="3" s="1"/>
  <c r="J82" i="3"/>
  <c r="K82" i="3" s="1"/>
  <c r="I5" i="3"/>
  <c r="J47" i="3"/>
  <c r="I59" i="3"/>
  <c r="K59" i="3" s="1"/>
  <c r="J7" i="3"/>
  <c r="J71" i="3"/>
  <c r="K14" i="3"/>
  <c r="K10" i="3"/>
  <c r="K38" i="3"/>
  <c r="K78" i="3"/>
  <c r="K33" i="3"/>
  <c r="I20" i="3"/>
  <c r="K20" i="3" s="1"/>
  <c r="J14" i="3"/>
  <c r="J2" i="3"/>
  <c r="J17" i="3"/>
  <c r="K17" i="3" s="1"/>
  <c r="K9" i="3"/>
  <c r="K56" i="3"/>
  <c r="I88" i="3"/>
  <c r="K66" i="3"/>
  <c r="K85" i="3"/>
  <c r="J73" i="3"/>
  <c r="I69" i="3"/>
  <c r="K69" i="3" s="1"/>
  <c r="J57" i="3"/>
  <c r="K57" i="3" s="1"/>
  <c r="J41" i="3"/>
  <c r="K37" i="3"/>
  <c r="J29" i="3"/>
  <c r="K29" i="3" s="1"/>
  <c r="K21" i="3"/>
  <c r="I8" i="3"/>
  <c r="K8" i="3" s="1"/>
  <c r="I24" i="3"/>
  <c r="J79" i="3"/>
  <c r="I99" i="3"/>
  <c r="J91" i="3"/>
  <c r="J83" i="3"/>
  <c r="I67" i="3"/>
  <c r="J51" i="3"/>
  <c r="I98" i="3"/>
  <c r="K98" i="3" s="1"/>
  <c r="I48" i="3"/>
  <c r="K48" i="3" s="1"/>
  <c r="K72" i="3"/>
  <c r="I35" i="3"/>
  <c r="K70" i="3"/>
  <c r="I96" i="3"/>
  <c r="K96" i="3" s="1"/>
  <c r="I97" i="3"/>
  <c r="K97" i="3" s="1"/>
  <c r="K89" i="3"/>
  <c r="K73" i="3"/>
  <c r="I41" i="3"/>
  <c r="I44" i="3"/>
  <c r="K44" i="3" s="1"/>
  <c r="I83" i="3"/>
  <c r="J67" i="3"/>
  <c r="I51" i="3"/>
  <c r="K51" i="3" s="1"/>
  <c r="I95" i="3"/>
  <c r="K95" i="3" s="1"/>
  <c r="I79" i="3"/>
  <c r="K79" i="3" s="1"/>
  <c r="J55" i="3"/>
  <c r="J39" i="3"/>
  <c r="K101" i="3"/>
  <c r="K93" i="3"/>
  <c r="K53" i="3"/>
  <c r="I22" i="3"/>
  <c r="K22" i="3" s="1"/>
  <c r="K42" i="3"/>
  <c r="I86" i="3"/>
  <c r="K86" i="3" s="1"/>
  <c r="K2" i="3"/>
  <c r="K88" i="3"/>
  <c r="K24" i="3"/>
  <c r="K40" i="3"/>
  <c r="I80" i="3"/>
  <c r="K80" i="3" s="1"/>
  <c r="J99" i="3"/>
  <c r="K99" i="3" s="1"/>
  <c r="K83" i="3"/>
  <c r="J95" i="3"/>
  <c r="I71" i="3"/>
  <c r="K71" i="3" s="1"/>
  <c r="I27" i="3"/>
  <c r="K26" i="3"/>
  <c r="J25" i="3"/>
  <c r="K25" i="3" s="1"/>
  <c r="K60" i="3"/>
  <c r="J77" i="3"/>
  <c r="K77" i="3" s="1"/>
  <c r="J61" i="3"/>
  <c r="K61" i="3" s="1"/>
  <c r="J45" i="3"/>
  <c r="K45" i="3" s="1"/>
  <c r="J5" i="3"/>
  <c r="K5" i="3" s="1"/>
  <c r="I12" i="3"/>
  <c r="K12" i="3" s="1"/>
  <c r="I28" i="3"/>
  <c r="K28" i="3" s="1"/>
  <c r="K84" i="3"/>
  <c r="J43" i="3"/>
  <c r="I23" i="3"/>
  <c r="J15" i="3"/>
  <c r="J87" i="3"/>
  <c r="K87" i="3" s="1"/>
  <c r="I47" i="3"/>
  <c r="K47" i="3" s="1"/>
  <c r="J19" i="3"/>
  <c r="J3" i="3"/>
  <c r="K58" i="3"/>
  <c r="K68" i="3"/>
  <c r="K36" i="3"/>
  <c r="K6" i="3"/>
  <c r="J90" i="3"/>
  <c r="K90" i="3" s="1"/>
  <c r="I54" i="3"/>
  <c r="K54" i="3" s="1"/>
  <c r="K74" i="3"/>
  <c r="I64" i="3"/>
  <c r="K64" i="3" s="1"/>
  <c r="J81" i="3"/>
  <c r="K81" i="3" s="1"/>
  <c r="J65" i="3"/>
  <c r="K65" i="3" s="1"/>
  <c r="J49" i="3"/>
  <c r="K49" i="3" s="1"/>
  <c r="J13" i="3"/>
  <c r="K13" i="3" s="1"/>
  <c r="J100" i="3"/>
  <c r="K100" i="3" s="1"/>
  <c r="I16" i="3"/>
  <c r="K16" i="3" s="1"/>
  <c r="I32" i="3"/>
  <c r="K32" i="3" s="1"/>
  <c r="K52" i="3"/>
  <c r="K92" i="3"/>
  <c r="I91" i="3"/>
  <c r="I75" i="3"/>
  <c r="K75" i="3" s="1"/>
  <c r="I43" i="3"/>
  <c r="I31" i="3"/>
  <c r="K31" i="3" s="1"/>
  <c r="J23" i="3"/>
  <c r="I15" i="3"/>
  <c r="K15" i="3" s="1"/>
  <c r="I7" i="3"/>
  <c r="K7" i="3" s="1"/>
  <c r="I63" i="3"/>
  <c r="K63" i="3" s="1"/>
  <c r="I55" i="3"/>
  <c r="K55" i="3" s="1"/>
  <c r="I39" i="3"/>
  <c r="K39" i="3" s="1"/>
  <c r="J35" i="3"/>
  <c r="J27" i="3"/>
  <c r="I19" i="3"/>
  <c r="K19" i="3" s="1"/>
  <c r="J11" i="3"/>
  <c r="K11" i="3" s="1"/>
  <c r="I3" i="3"/>
  <c r="K3" i="3" s="1"/>
  <c r="K91" i="3" l="1"/>
  <c r="K35" i="3"/>
  <c r="K41" i="3"/>
  <c r="K43" i="3"/>
  <c r="K67" i="3"/>
  <c r="K23" i="3"/>
  <c r="B12" i="4" s="1"/>
  <c r="K27" i="3"/>
  <c r="B4" i="4"/>
  <c r="B3" i="4" l="1"/>
  <c r="B5" i="4" s="1"/>
  <c r="B11" i="4"/>
</calcChain>
</file>

<file path=xl/sharedStrings.xml><?xml version="1.0" encoding="utf-8"?>
<sst xmlns="http://schemas.openxmlformats.org/spreadsheetml/2006/main" count="751" uniqueCount="244">
  <si>
    <t>Date</t>
  </si>
  <si>
    <t>Account</t>
  </si>
  <si>
    <t>Security</t>
  </si>
  <si>
    <t>Quantity</t>
  </si>
  <si>
    <t>Value</t>
  </si>
  <si>
    <t>TradeID</t>
  </si>
  <si>
    <t>A003</t>
  </si>
  <si>
    <t>NVDA</t>
  </si>
  <si>
    <t>T0001</t>
  </si>
  <si>
    <t>A009</t>
  </si>
  <si>
    <t>JPM</t>
  </si>
  <si>
    <t>T0002</t>
  </si>
  <si>
    <t>A008</t>
  </si>
  <si>
    <t>META</t>
  </si>
  <si>
    <t>T0003</t>
  </si>
  <si>
    <t>A005</t>
  </si>
  <si>
    <t>BABA</t>
  </si>
  <si>
    <t>T0004</t>
  </si>
  <si>
    <t>A002</t>
  </si>
  <si>
    <t>T0005</t>
  </si>
  <si>
    <t>A010</t>
  </si>
  <si>
    <t>T0006</t>
  </si>
  <si>
    <t>A007</t>
  </si>
  <si>
    <t>AMZN</t>
  </si>
  <si>
    <t>T0007</t>
  </si>
  <si>
    <t>AAPL</t>
  </si>
  <si>
    <t>T0008</t>
  </si>
  <si>
    <t>MSFT</t>
  </si>
  <si>
    <t>T0009</t>
  </si>
  <si>
    <t>TSLA</t>
  </si>
  <si>
    <t>T0010</t>
  </si>
  <si>
    <t>T0011</t>
  </si>
  <si>
    <t>GOOGL</t>
  </si>
  <si>
    <t>T0012</t>
  </si>
  <si>
    <t>NFLX</t>
  </si>
  <si>
    <t>T0013</t>
  </si>
  <si>
    <t>T0014</t>
  </si>
  <si>
    <t>A006</t>
  </si>
  <si>
    <t>T0015</t>
  </si>
  <si>
    <t>T0016</t>
  </si>
  <si>
    <t>A001</t>
  </si>
  <si>
    <t>T0017</t>
  </si>
  <si>
    <t>T0018</t>
  </si>
  <si>
    <t>T0019</t>
  </si>
  <si>
    <t>T0020</t>
  </si>
  <si>
    <t>A004</t>
  </si>
  <si>
    <t>T0021</t>
  </si>
  <si>
    <t>T0022</t>
  </si>
  <si>
    <t>T0023</t>
  </si>
  <si>
    <t>T0024</t>
  </si>
  <si>
    <t>T0025</t>
  </si>
  <si>
    <t>T0026</t>
  </si>
  <si>
    <t>T0027</t>
  </si>
  <si>
    <t>T0028</t>
  </si>
  <si>
    <t>T0029</t>
  </si>
  <si>
    <t>T0030</t>
  </si>
  <si>
    <t>T0031</t>
  </si>
  <si>
    <t>T0032</t>
  </si>
  <si>
    <t>T0033</t>
  </si>
  <si>
    <t>T0034</t>
  </si>
  <si>
    <t>T0035</t>
  </si>
  <si>
    <t>T0036</t>
  </si>
  <si>
    <t>T0037</t>
  </si>
  <si>
    <t>T0038</t>
  </si>
  <si>
    <t>T0039</t>
  </si>
  <si>
    <t>T0040</t>
  </si>
  <si>
    <t>T0041</t>
  </si>
  <si>
    <t>T0042</t>
  </si>
  <si>
    <t>T0043</t>
  </si>
  <si>
    <t>T0044</t>
  </si>
  <si>
    <t>T0045</t>
  </si>
  <si>
    <t>T0046</t>
  </si>
  <si>
    <t>T0047</t>
  </si>
  <si>
    <t>T0048</t>
  </si>
  <si>
    <t>T0049</t>
  </si>
  <si>
    <t>T0050</t>
  </si>
  <si>
    <t>T0051</t>
  </si>
  <si>
    <t>T0052</t>
  </si>
  <si>
    <t>T0053</t>
  </si>
  <si>
    <t>T0054</t>
  </si>
  <si>
    <t>T0055</t>
  </si>
  <si>
    <t>T0056</t>
  </si>
  <si>
    <t>T0057</t>
  </si>
  <si>
    <t>T0058</t>
  </si>
  <si>
    <t>T0059</t>
  </si>
  <si>
    <t>T0060</t>
  </si>
  <si>
    <t>T0061</t>
  </si>
  <si>
    <t>T0062</t>
  </si>
  <si>
    <t>T0063</t>
  </si>
  <si>
    <t>T0064</t>
  </si>
  <si>
    <t>T0065</t>
  </si>
  <si>
    <t>T0066</t>
  </si>
  <si>
    <t>T0067</t>
  </si>
  <si>
    <t>T0068</t>
  </si>
  <si>
    <t>T0069</t>
  </si>
  <si>
    <t>T0070</t>
  </si>
  <si>
    <t>T0071</t>
  </si>
  <si>
    <t>T0072</t>
  </si>
  <si>
    <t>T0073</t>
  </si>
  <si>
    <t>T0074</t>
  </si>
  <si>
    <t>T0075</t>
  </si>
  <si>
    <t>T0076</t>
  </si>
  <si>
    <t>T0077</t>
  </si>
  <si>
    <t>T0078</t>
  </si>
  <si>
    <t>T0079</t>
  </si>
  <si>
    <t>T0080</t>
  </si>
  <si>
    <t>T0081</t>
  </si>
  <si>
    <t>T0082</t>
  </si>
  <si>
    <t>T0083</t>
  </si>
  <si>
    <t>T0084</t>
  </si>
  <si>
    <t>T0085</t>
  </si>
  <si>
    <t>T0086</t>
  </si>
  <si>
    <t>T0087</t>
  </si>
  <si>
    <t>T0088</t>
  </si>
  <si>
    <t>T0089</t>
  </si>
  <si>
    <t>T0090</t>
  </si>
  <si>
    <t>T0091</t>
  </si>
  <si>
    <t>T0092</t>
  </si>
  <si>
    <t>T0093</t>
  </si>
  <si>
    <t>T0094</t>
  </si>
  <si>
    <t>T0095</t>
  </si>
  <si>
    <t>T0096</t>
  </si>
  <si>
    <t>T0097</t>
  </si>
  <si>
    <t>T0098</t>
  </si>
  <si>
    <t>T0099</t>
  </si>
  <si>
    <t>T0100</t>
  </si>
  <si>
    <t>UniqueKey</t>
  </si>
  <si>
    <t>Internal_Quantity</t>
  </si>
  <si>
    <t>Internal_Value</t>
  </si>
  <si>
    <t>Custodian_Quantity</t>
  </si>
  <si>
    <t>Custodian_Value</t>
  </si>
  <si>
    <t>Quantity_Diff</t>
  </si>
  <si>
    <t>Value_Diff</t>
  </si>
  <si>
    <t>Match_Status</t>
  </si>
  <si>
    <t>Total Transactions</t>
  </si>
  <si>
    <t>Matched</t>
  </si>
  <si>
    <t>Mismatched</t>
  </si>
  <si>
    <t>Match %</t>
  </si>
  <si>
    <t>Status</t>
  </si>
  <si>
    <t>Count</t>
  </si>
  <si>
    <t>MATCH</t>
  </si>
  <si>
    <t>MISMATCH</t>
  </si>
  <si>
    <t>A003-NVDA-20251015</t>
  </si>
  <si>
    <t>A009-JPM-20251004</t>
  </si>
  <si>
    <t>A008-META-20251008</t>
  </si>
  <si>
    <t>A005-BABA-20251005</t>
  </si>
  <si>
    <t>A002-META-20251016</t>
  </si>
  <si>
    <t>A010-BABA-20251018</t>
  </si>
  <si>
    <t>A007-AMZN-20251026</t>
  </si>
  <si>
    <t>A008-AAPL-20251028</t>
  </si>
  <si>
    <t>A005-MSFT-20251028</t>
  </si>
  <si>
    <t>A003-TSLA-20251029</t>
  </si>
  <si>
    <t>A003-NVDA-20251018</t>
  </si>
  <si>
    <t>A010-GOOGL-20251016</t>
  </si>
  <si>
    <t>A008-NFLX-20251027</t>
  </si>
  <si>
    <t>A010-BABA-20251024</t>
  </si>
  <si>
    <t>A006-META-20251027</t>
  </si>
  <si>
    <t>A009-GOOGL-20251009</t>
  </si>
  <si>
    <t>A001-MSFT-20251024</t>
  </si>
  <si>
    <t>A003-NVDA-20251023</t>
  </si>
  <si>
    <t>A001-BABA-20251005</t>
  </si>
  <si>
    <t>A001-JPM-20251001</t>
  </si>
  <si>
    <t>A004-AMZN-20251001</t>
  </si>
  <si>
    <t>A003-META-20251011</t>
  </si>
  <si>
    <t>A009-TSLA-20251027</t>
  </si>
  <si>
    <t>A010-AAPL-20251029</t>
  </si>
  <si>
    <t>A007-TSLA-20251008</t>
  </si>
  <si>
    <t>A007-JPM-20251005</t>
  </si>
  <si>
    <t>A005-JPM-20251021</t>
  </si>
  <si>
    <t>A005-META-20251020</t>
  </si>
  <si>
    <t>A009-NFLX-20251011</t>
  </si>
  <si>
    <t>A010-MSFT-20251029</t>
  </si>
  <si>
    <t>A002-GOOGL-20251029</t>
  </si>
  <si>
    <t>A006-AMZN-20251008</t>
  </si>
  <si>
    <t>A002-BABA-20251025</t>
  </si>
  <si>
    <t>A005-BABA-20251026</t>
  </si>
  <si>
    <t>A008-META-20251030</t>
  </si>
  <si>
    <t>A006-GOOGL-20251002</t>
  </si>
  <si>
    <t>A002-META-20251015</t>
  </si>
  <si>
    <t>A005-NVDA-20251015</t>
  </si>
  <si>
    <t>A005-NVDA-20251014</t>
  </si>
  <si>
    <t>A010-NFLX-20251005</t>
  </si>
  <si>
    <t>A003-AMZN-20251030</t>
  </si>
  <si>
    <t>A010-META-20251004</t>
  </si>
  <si>
    <t>A009-TSLA-20251004</t>
  </si>
  <si>
    <t>A002-BABA-20251013</t>
  </si>
  <si>
    <t>A007-META-20251022</t>
  </si>
  <si>
    <t>A010-NVDA-20251002</t>
  </si>
  <si>
    <t>A005-GOOGL-20251005</t>
  </si>
  <si>
    <t>A005-AMZN-20251002</t>
  </si>
  <si>
    <t>A006-BABA-20251014</t>
  </si>
  <si>
    <t>A004-JPM-20251016</t>
  </si>
  <si>
    <t>A003-MSFT-20251014</t>
  </si>
  <si>
    <t>A001-AMZN-20251002</t>
  </si>
  <si>
    <t>A002-META-20251017</t>
  </si>
  <si>
    <t>A001-AMZN-20251015</t>
  </si>
  <si>
    <t>A001-META-20251001</t>
  </si>
  <si>
    <t>A001-META-20251002</t>
  </si>
  <si>
    <t>A001-MSFT-20251008</t>
  </si>
  <si>
    <t>A008-AAPL-20251030</t>
  </si>
  <si>
    <t>A004-BABA-20251005</t>
  </si>
  <si>
    <t>A002-JPM-20251019</t>
  </si>
  <si>
    <t>A009-META-20251030</t>
  </si>
  <si>
    <t>A007-GOOGL-20251010</t>
  </si>
  <si>
    <t>A001-BABA-20251017</t>
  </si>
  <si>
    <t>A004-AMZN-20251002</t>
  </si>
  <si>
    <t>A003-NVDA-20251021</t>
  </si>
  <si>
    <t>A008-AAPL-20251026</t>
  </si>
  <si>
    <t>A004-NVDA-20251027</t>
  </si>
  <si>
    <t>A003-TSLA-20251027</t>
  </si>
  <si>
    <t>A009-BABA-20251020</t>
  </si>
  <si>
    <t>A007-GOOGL-20251011</t>
  </si>
  <si>
    <t>A010-NVDA-20251017</t>
  </si>
  <si>
    <t>A005-JPM-20251025</t>
  </si>
  <si>
    <t>A006-GOOGL-20251008</t>
  </si>
  <si>
    <t>A003-JPM-20251027</t>
  </si>
  <si>
    <t>A006-TSLA-20251031</t>
  </si>
  <si>
    <t>A004-JPM-20251021</t>
  </si>
  <si>
    <t>A001-AMZN-20251029</t>
  </si>
  <si>
    <t>A004-NVDA-20251030</t>
  </si>
  <si>
    <t>A006-NVDA-20251008</t>
  </si>
  <si>
    <t>A009-BABA-20251008</t>
  </si>
  <si>
    <t>A005-NVDA-20251021</t>
  </si>
  <si>
    <t>A004-TSLA-20251019</t>
  </si>
  <si>
    <t>A010-GOOGL-20251004</t>
  </si>
  <si>
    <t>A006-JPM-20251023</t>
  </si>
  <si>
    <t>A005-NVDA-20251008</t>
  </si>
  <si>
    <t>A004-AAPL-20251009</t>
  </si>
  <si>
    <t>A004-MSFT-20251031</t>
  </si>
  <si>
    <t>A006-BABA-20251022</t>
  </si>
  <si>
    <t>A010-AMZN-20251020</t>
  </si>
  <si>
    <t>A004-MSFT-20251023</t>
  </si>
  <si>
    <t>A001-AAPL-20251005</t>
  </si>
  <si>
    <t>A004-JPM-20251024</t>
  </si>
  <si>
    <t>A004-NVDA-20251022</t>
  </si>
  <si>
    <t>A002-META-20251006</t>
  </si>
  <si>
    <t>A006-META-20251018</t>
  </si>
  <si>
    <t>A009-META-20251014</t>
  </si>
  <si>
    <t>A008-BABA-20251019</t>
  </si>
  <si>
    <t>A001-BABA-20251022</t>
  </si>
  <si>
    <t>A009-AAPL-20251028</t>
  </si>
  <si>
    <t>Row Labels</t>
  </si>
  <si>
    <t>Grand Total</t>
  </si>
  <si>
    <t>Count of Match_Status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</si>
</sst>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85656"/>
        <bgColor indexed="64"/>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14" fontId="0" fillId="0" borderId="0" xfId="0" applyNumberFormat="1"/>
    <xf numFmtId="2" fontId="0" fillId="0" borderId="0" xfId="0" applyNumberFormat="1"/>
    <xf numFmtId="0" fontId="2" fillId="0" borderId="0" xfId="0" applyFont="1"/>
    <xf numFmtId="0" fontId="0" fillId="3" borderId="0" xfId="0" applyFill="1"/>
    <xf numFmtId="0" fontId="2" fillId="4" borderId="0" xfId="0" applyFont="1" applyFill="1"/>
    <xf numFmtId="0" fontId="0" fillId="4" borderId="0" xfId="0" applyFill="1"/>
    <xf numFmtId="2" fontId="2" fillId="3" borderId="0" xfId="0" applyNumberFormat="1" applyFont="1" applyFill="1"/>
    <xf numFmtId="49" fontId="2" fillId="3" borderId="0" xfId="0" applyNumberFormat="1" applyFont="1" applyFill="1"/>
    <xf numFmtId="49" fontId="0" fillId="0" borderId="0" xfId="0" applyNumberFormat="1"/>
    <xf numFmtId="49" fontId="0" fillId="2" borderId="1" xfId="0" applyNumberFormat="1" applyFont="1" applyFill="1" applyBorder="1"/>
    <xf numFmtId="49" fontId="0" fillId="0" borderId="1" xfId="0" applyNumberFormat="1" applyFont="1" applyBorder="1"/>
    <xf numFmtId="1" fontId="2" fillId="3" borderId="0" xfId="0" applyNumberFormat="1" applyFont="1" applyFill="1"/>
    <xf numFmtId="1" fontId="0" fillId="0" borderId="0" xfId="0" applyNumberFormat="1"/>
    <xf numFmtId="1" fontId="2" fillId="0" borderId="0" xfId="0" applyNumberFormat="1" applyFont="1" applyAlignment="1">
      <alignment horizontal="center"/>
    </xf>
    <xf numFmtId="0" fontId="2" fillId="5" borderId="0" xfId="0" applyFont="1" applyFill="1"/>
    <xf numFmtId="1" fontId="2" fillId="5" borderId="0" xfId="0" applyNumberFormat="1" applyFont="1" applyFill="1" applyAlignment="1">
      <alignment horizontal="center"/>
    </xf>
    <xf numFmtId="0" fontId="0" fillId="5" borderId="0" xfId="0" applyFill="1"/>
    <xf numFmtId="0" fontId="2" fillId="6" borderId="0" xfId="0" applyFont="1" applyFill="1"/>
    <xf numFmtId="0" fontId="0" fillId="6" borderId="0" xfId="0" applyFill="1"/>
    <xf numFmtId="1" fontId="2" fillId="4" borderId="0" xfId="0" applyNumberFormat="1" applyFont="1" applyFill="1" applyAlignment="1">
      <alignment horizontal="center"/>
    </xf>
    <xf numFmtId="164" fontId="2" fillId="6" borderId="0" xfId="1" applyNumberFormat="1" applyFont="1" applyFill="1" applyAlignment="1">
      <alignment horizontal="center"/>
    </xf>
    <xf numFmtId="0" fontId="2" fillId="7" borderId="0" xfId="0" applyFont="1" applyFill="1"/>
    <xf numFmtId="1" fontId="2" fillId="7" borderId="0" xfId="0" applyNumberFormat="1" applyFont="1" applyFill="1" applyAlignment="1">
      <alignment horizontal="center"/>
    </xf>
    <xf numFmtId="0" fontId="0" fillId="7" borderId="0" xfId="0" applyFill="1"/>
    <xf numFmtId="0" fontId="2" fillId="0" borderId="0" xfId="0" applyFont="1" applyAlignment="1">
      <alignment horizontal="center"/>
    </xf>
    <xf numFmtId="2" fontId="0" fillId="0" borderId="0" xfId="0" applyNumberFormat="1" applyAlignment="1">
      <alignment horizontal="center"/>
    </xf>
    <xf numFmtId="2" fontId="2"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2" fillId="0" borderId="0" xfId="0" applyNumberFormat="1" applyFont="1" applyFill="1"/>
    <xf numFmtId="14" fontId="0" fillId="0" borderId="0" xfId="0" applyNumberFormat="1" applyFont="1" applyFill="1" applyBorder="1"/>
    <xf numFmtId="0" fontId="0" fillId="0" borderId="0" xfId="0" applyNumberFormat="1" applyFill="1"/>
    <xf numFmtId="0" fontId="0" fillId="0" borderId="0" xfId="0" applyNumberFormat="1" applyFont="1" applyFill="1" applyBorder="1"/>
    <xf numFmtId="14" fontId="2" fillId="0" borderId="0" xfId="0" applyNumberFormat="1" applyFont="1" applyFill="1"/>
    <xf numFmtId="14" fontId="0" fillId="0" borderId="0" xfId="0" applyNumberFormat="1" applyFill="1"/>
  </cellXfs>
  <cellStyles count="2">
    <cellStyle name="Normal" xfId="0" builtinId="0"/>
    <cellStyle name="Percent" xfId="1" builtinId="5"/>
  </cellStyles>
  <dxfs count="10">
    <dxf>
      <fill>
        <patternFill>
          <fgColor theme="9"/>
          <bgColor theme="9" tint="-0.24994659260841701"/>
        </patternFill>
      </fill>
    </dxf>
    <dxf>
      <fill>
        <patternFill>
          <fgColor theme="5"/>
          <bgColor theme="5"/>
        </patternFill>
      </fill>
    </dxf>
    <dxf>
      <numFmt numFmtId="2" formatCode="0.00"/>
    </dxf>
    <dxf>
      <numFmt numFmtId="2" formatCode="0.00"/>
    </dxf>
    <dxf>
      <numFmt numFmtId="19" formatCode="m/d/yyyy"/>
    </dxf>
    <dxf>
      <numFmt numFmtId="0" formatCode="General"/>
    </dxf>
    <dxf>
      <numFmt numFmtId="2" formatCode="0.00"/>
    </dxf>
    <dxf>
      <numFmt numFmtId="2" formatCode="0.00"/>
    </dxf>
    <dxf>
      <numFmt numFmtId="19" formatCode="m/d/yyyy"/>
    </dxf>
    <dxf>
      <numFmt numFmtId="0" formatCode="General"/>
    </dxf>
  </dxfs>
  <tableStyles count="0" defaultTableStyle="TableStyleMedium2" defaultPivotStyle="PivotStyleLight16"/>
  <colors>
    <mruColors>
      <color rgb="FFF85656"/>
      <color rgb="FFFF67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 Status Breakdown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Dashboard!$B$10</c:f>
              <c:strCache>
                <c:ptCount val="1"/>
                <c:pt idx="0">
                  <c:v>Count</c:v>
                </c:pt>
              </c:strCache>
            </c:strRef>
          </c:tx>
          <c:dPt>
            <c:idx val="0"/>
            <c:bubble3D val="0"/>
            <c:spPr>
              <a:solidFill>
                <a:schemeClr val="accent6">
                  <a:lumMod val="75000"/>
                </a:schemeClr>
              </a:solidFill>
              <a:ln w="19050">
                <a:solidFill>
                  <a:schemeClr val="lt1"/>
                </a:solidFill>
              </a:ln>
              <a:effectLst/>
            </c:spPr>
          </c:dPt>
          <c:dPt>
            <c:idx val="1"/>
            <c:bubble3D val="0"/>
            <c:spPr>
              <a:solidFill>
                <a:srgbClr val="FF0000"/>
              </a:solidFill>
              <a:ln w="19050">
                <a:solidFill>
                  <a:schemeClr val="lt1"/>
                </a:solidFill>
              </a:ln>
              <a:effectLst/>
            </c:spPr>
          </c:dPt>
          <c:dLbls>
            <c:dLbl>
              <c:idx val="1"/>
              <c:layout>
                <c:manualLayout>
                  <c:x val="3.9083566167132253E-2"/>
                  <c:y val="8.6924879661799542E-3"/>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Dashboard!$A$11:$A$12</c:f>
              <c:strCache>
                <c:ptCount val="2"/>
                <c:pt idx="0">
                  <c:v>MATCH</c:v>
                </c:pt>
                <c:pt idx="1">
                  <c:v>MISMATCH</c:v>
                </c:pt>
              </c:strCache>
            </c:strRef>
          </c:cat>
          <c:val>
            <c:numRef>
              <c:f>Dashboard!$B$11:$B$12</c:f>
              <c:numCache>
                <c:formatCode>General</c:formatCode>
                <c:ptCount val="2"/>
                <c:pt idx="0">
                  <c:v>90</c:v>
                </c:pt>
                <c:pt idx="1">
                  <c:v>10</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Discrepancy Magnitude per Transaction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828758672919204E-2"/>
          <c:y val="2.3917561459271115E-2"/>
          <c:w val="0.89841640065262107"/>
          <c:h val="0.72129551661127667"/>
        </c:manualLayout>
      </c:layout>
      <c:barChart>
        <c:barDir val="col"/>
        <c:grouping val="clustered"/>
        <c:varyColors val="0"/>
        <c:ser>
          <c:idx val="0"/>
          <c:order val="0"/>
          <c:tx>
            <c:strRef>
              <c:f>Dashboard!$B$20</c:f>
              <c:strCache>
                <c:ptCount val="1"/>
                <c:pt idx="0">
                  <c:v>Quantity_Diff</c:v>
                </c:pt>
              </c:strCache>
            </c:strRef>
          </c:tx>
          <c:spPr>
            <a:solidFill>
              <a:schemeClr val="accent1"/>
            </a:solidFill>
            <a:ln>
              <a:noFill/>
            </a:ln>
            <a:effectLst/>
          </c:spPr>
          <c:invertIfNegative val="0"/>
          <c:cat>
            <c:strRef>
              <c:f>Dashboard!$A$21:$A$120</c:f>
              <c:strCache>
                <c:ptCount val="100"/>
                <c:pt idx="0">
                  <c:v>A003-NVDA-20251018</c:v>
                </c:pt>
                <c:pt idx="1">
                  <c:v>A003-NVDA-20251015</c:v>
                </c:pt>
                <c:pt idx="2">
                  <c:v>A009-JPM-20251004</c:v>
                </c:pt>
                <c:pt idx="3">
                  <c:v>A008-META-20251008</c:v>
                </c:pt>
                <c:pt idx="4">
                  <c:v>A005-BABA-20251005</c:v>
                </c:pt>
                <c:pt idx="5">
                  <c:v>A002-META-20251016</c:v>
                </c:pt>
                <c:pt idx="6">
                  <c:v>A010-BABA-20251018</c:v>
                </c:pt>
                <c:pt idx="7">
                  <c:v>A007-AMZN-20251026</c:v>
                </c:pt>
                <c:pt idx="8">
                  <c:v>A008-AAPL-20251028</c:v>
                </c:pt>
                <c:pt idx="9">
                  <c:v>A005-MSFT-20251028</c:v>
                </c:pt>
                <c:pt idx="10">
                  <c:v>A003-TSLA-20251029</c:v>
                </c:pt>
                <c:pt idx="11">
                  <c:v>A010-GOOGL-20251016</c:v>
                </c:pt>
                <c:pt idx="12">
                  <c:v>A008-NFLX-20251027</c:v>
                </c:pt>
                <c:pt idx="13">
                  <c:v>A010-BABA-20251024</c:v>
                </c:pt>
                <c:pt idx="14">
                  <c:v>A006-META-20251027</c:v>
                </c:pt>
                <c:pt idx="15">
                  <c:v>A009-GOOGL-20251009</c:v>
                </c:pt>
                <c:pt idx="16">
                  <c:v>A001-MSFT-20251024</c:v>
                </c:pt>
                <c:pt idx="17">
                  <c:v>A003-NVDA-20251023</c:v>
                </c:pt>
                <c:pt idx="18">
                  <c:v>A001-BABA-20251005</c:v>
                </c:pt>
                <c:pt idx="19">
                  <c:v>A001-JPM-20251001</c:v>
                </c:pt>
                <c:pt idx="20">
                  <c:v>A004-AMZN-20251001</c:v>
                </c:pt>
                <c:pt idx="21">
                  <c:v>A003-META-20251011</c:v>
                </c:pt>
                <c:pt idx="22">
                  <c:v>A009-TSLA-20251027</c:v>
                </c:pt>
                <c:pt idx="23">
                  <c:v>A010-AAPL-20251029</c:v>
                </c:pt>
                <c:pt idx="24">
                  <c:v>A007-TSLA-20251008</c:v>
                </c:pt>
                <c:pt idx="25">
                  <c:v>A007-JPM-20251005</c:v>
                </c:pt>
                <c:pt idx="26">
                  <c:v>A005-JPM-20251021</c:v>
                </c:pt>
                <c:pt idx="27">
                  <c:v>A005-META-20251020</c:v>
                </c:pt>
                <c:pt idx="28">
                  <c:v>A009-NFLX-20251011</c:v>
                </c:pt>
                <c:pt idx="29">
                  <c:v>A010-MSFT-20251029</c:v>
                </c:pt>
                <c:pt idx="30">
                  <c:v>A002-GOOGL-20251029</c:v>
                </c:pt>
                <c:pt idx="31">
                  <c:v>A006-AMZN-20251008</c:v>
                </c:pt>
                <c:pt idx="32">
                  <c:v>A002-BABA-20251025</c:v>
                </c:pt>
                <c:pt idx="33">
                  <c:v>A005-BABA-20251026</c:v>
                </c:pt>
                <c:pt idx="34">
                  <c:v>A008-META-20251030</c:v>
                </c:pt>
                <c:pt idx="35">
                  <c:v>A006-GOOGL-20251002</c:v>
                </c:pt>
                <c:pt idx="36">
                  <c:v>A002-META-20251015</c:v>
                </c:pt>
                <c:pt idx="37">
                  <c:v>A005-NVDA-20251015</c:v>
                </c:pt>
                <c:pt idx="38">
                  <c:v>A005-NVDA-20251014</c:v>
                </c:pt>
                <c:pt idx="39">
                  <c:v>A010-NFLX-20251005</c:v>
                </c:pt>
                <c:pt idx="40">
                  <c:v>A003-AMZN-20251030</c:v>
                </c:pt>
                <c:pt idx="41">
                  <c:v>A010-META-20251004</c:v>
                </c:pt>
                <c:pt idx="42">
                  <c:v>A009-TSLA-20251004</c:v>
                </c:pt>
                <c:pt idx="43">
                  <c:v>A007-META-20251022</c:v>
                </c:pt>
                <c:pt idx="44">
                  <c:v>A010-NVDA-20251002</c:v>
                </c:pt>
                <c:pt idx="45">
                  <c:v>A005-GOOGL-20251005</c:v>
                </c:pt>
                <c:pt idx="46">
                  <c:v>A005-AMZN-20251002</c:v>
                </c:pt>
                <c:pt idx="47">
                  <c:v>A006-BABA-20251014</c:v>
                </c:pt>
                <c:pt idx="48">
                  <c:v>A004-JPM-20251016</c:v>
                </c:pt>
                <c:pt idx="49">
                  <c:v>A003-MSFT-20251014</c:v>
                </c:pt>
                <c:pt idx="50">
                  <c:v>A001-AMZN-20251002</c:v>
                </c:pt>
                <c:pt idx="51">
                  <c:v>A002-META-20251017</c:v>
                </c:pt>
                <c:pt idx="52">
                  <c:v>A001-AMZN-20251015</c:v>
                </c:pt>
                <c:pt idx="53">
                  <c:v>A001-META-20251001</c:v>
                </c:pt>
                <c:pt idx="54">
                  <c:v>A001-META-20251002</c:v>
                </c:pt>
                <c:pt idx="55">
                  <c:v>A001-MSFT-20251008</c:v>
                </c:pt>
                <c:pt idx="56">
                  <c:v>A008-AAPL-20251030</c:v>
                </c:pt>
                <c:pt idx="57">
                  <c:v>A004-BABA-20251005</c:v>
                </c:pt>
                <c:pt idx="58">
                  <c:v>A002-JPM-20251019</c:v>
                </c:pt>
                <c:pt idx="59">
                  <c:v>A009-META-20251030</c:v>
                </c:pt>
                <c:pt idx="60">
                  <c:v>A007-GOOGL-20251010</c:v>
                </c:pt>
                <c:pt idx="61">
                  <c:v>A001-BABA-20251017</c:v>
                </c:pt>
                <c:pt idx="62">
                  <c:v>A004-AMZN-20251002</c:v>
                </c:pt>
                <c:pt idx="63">
                  <c:v>A008-AAPL-20251026</c:v>
                </c:pt>
                <c:pt idx="64">
                  <c:v>A004-NVDA-20251027</c:v>
                </c:pt>
                <c:pt idx="65">
                  <c:v>A003-TSLA-20251027</c:v>
                </c:pt>
                <c:pt idx="66">
                  <c:v>A009-BABA-20251020</c:v>
                </c:pt>
                <c:pt idx="67">
                  <c:v>A007-GOOGL-20251011</c:v>
                </c:pt>
                <c:pt idx="68">
                  <c:v>A005-JPM-20251025</c:v>
                </c:pt>
                <c:pt idx="69">
                  <c:v>A006-GOOGL-20251008</c:v>
                </c:pt>
                <c:pt idx="70">
                  <c:v>A003-JPM-20251027</c:v>
                </c:pt>
                <c:pt idx="71">
                  <c:v>A006-TSLA-20251031</c:v>
                </c:pt>
                <c:pt idx="72">
                  <c:v>A004-JPM-20251021</c:v>
                </c:pt>
                <c:pt idx="73">
                  <c:v>A001-AMZN-20251029</c:v>
                </c:pt>
                <c:pt idx="74">
                  <c:v>A004-NVDA-20251030</c:v>
                </c:pt>
                <c:pt idx="75">
                  <c:v>A006-NVDA-20251008</c:v>
                </c:pt>
                <c:pt idx="76">
                  <c:v>A005-NVDA-20251021</c:v>
                </c:pt>
                <c:pt idx="77">
                  <c:v>A004-TSLA-20251019</c:v>
                </c:pt>
                <c:pt idx="78">
                  <c:v>A010-GOOGL-20251004</c:v>
                </c:pt>
                <c:pt idx="79">
                  <c:v>A006-JPM-20251023</c:v>
                </c:pt>
                <c:pt idx="80">
                  <c:v>A005-NVDA-20251008</c:v>
                </c:pt>
                <c:pt idx="81">
                  <c:v>A004-AAPL-20251009</c:v>
                </c:pt>
                <c:pt idx="82">
                  <c:v>A004-MSFT-20251031</c:v>
                </c:pt>
                <c:pt idx="83">
                  <c:v>A006-BABA-20251022</c:v>
                </c:pt>
                <c:pt idx="84">
                  <c:v>A010-AMZN-20251020</c:v>
                </c:pt>
                <c:pt idx="85">
                  <c:v>A004-MSFT-20251023</c:v>
                </c:pt>
                <c:pt idx="86">
                  <c:v>A001-AAPL-20251005</c:v>
                </c:pt>
                <c:pt idx="87">
                  <c:v>A004-JPM-20251024</c:v>
                </c:pt>
                <c:pt idx="88">
                  <c:v>A004-NVDA-20251022</c:v>
                </c:pt>
                <c:pt idx="89">
                  <c:v>A002-META-20251006</c:v>
                </c:pt>
                <c:pt idx="90">
                  <c:v>A005-GOOGL-20251005</c:v>
                </c:pt>
                <c:pt idx="91">
                  <c:v>A006-META-20251018</c:v>
                </c:pt>
                <c:pt idx="92">
                  <c:v>A009-META-20251014</c:v>
                </c:pt>
                <c:pt idx="93">
                  <c:v>A008-BABA-20251019</c:v>
                </c:pt>
                <c:pt idx="94">
                  <c:v>A001-BABA-20251022</c:v>
                </c:pt>
                <c:pt idx="95">
                  <c:v>A009-BABA-20251008</c:v>
                </c:pt>
                <c:pt idx="96">
                  <c:v>A002-BABA-20251013</c:v>
                </c:pt>
                <c:pt idx="97">
                  <c:v>A003-NVDA-20251021</c:v>
                </c:pt>
                <c:pt idx="98">
                  <c:v>A010-NVDA-20251017</c:v>
                </c:pt>
                <c:pt idx="99">
                  <c:v>A009-AAPL-20251028</c:v>
                </c:pt>
              </c:strCache>
            </c:strRef>
          </c:cat>
          <c:val>
            <c:numRef>
              <c:f>Dashboard!$B$21:$B$120</c:f>
              <c:numCache>
                <c:formatCode>0</c:formatCode>
                <c:ptCount val="100"/>
                <c:pt idx="0">
                  <c:v>0</c:v>
                </c:pt>
                <c:pt idx="1">
                  <c:v>0</c:v>
                </c:pt>
                <c:pt idx="2">
                  <c:v>0</c:v>
                </c:pt>
                <c:pt idx="3">
                  <c:v>0</c:v>
                </c:pt>
                <c:pt idx="4">
                  <c:v>0</c:v>
                </c:pt>
                <c:pt idx="5">
                  <c:v>0</c:v>
                </c:pt>
                <c:pt idx="6">
                  <c:v>0</c:v>
                </c:pt>
                <c:pt idx="7">
                  <c:v>0</c:v>
                </c:pt>
                <c:pt idx="8">
                  <c:v>0</c:v>
                </c:pt>
                <c:pt idx="9">
                  <c:v>0</c:v>
                </c:pt>
                <c:pt idx="10">
                  <c:v>0</c:v>
                </c:pt>
                <c:pt idx="11">
                  <c:v>0</c:v>
                </c:pt>
                <c:pt idx="12">
                  <c:v>-4</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-2</c:v>
                </c:pt>
                <c:pt idx="52">
                  <c:v>0</c:v>
                </c:pt>
                <c:pt idx="53">
                  <c:v>0</c:v>
                </c:pt>
                <c:pt idx="54">
                  <c:v>0</c:v>
                </c:pt>
                <c:pt idx="55">
                  <c:v>0</c:v>
                </c:pt>
                <c:pt idx="56">
                  <c:v>4</c:v>
                </c:pt>
                <c:pt idx="57">
                  <c:v>0</c:v>
                </c:pt>
                <c:pt idx="58">
                  <c:v>0</c:v>
                </c:pt>
                <c:pt idx="59">
                  <c:v>0</c:v>
                </c:pt>
                <c:pt idx="60">
                  <c:v>0</c:v>
                </c:pt>
                <c:pt idx="61">
                  <c:v>-2</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er>
        <c:ser>
          <c:idx val="1"/>
          <c:order val="1"/>
          <c:tx>
            <c:strRef>
              <c:f>Dashboard!$C$20</c:f>
              <c:strCache>
                <c:ptCount val="1"/>
                <c:pt idx="0">
                  <c:v>Value_Diff</c:v>
                </c:pt>
              </c:strCache>
            </c:strRef>
          </c:tx>
          <c:spPr>
            <a:solidFill>
              <a:srgbClr val="FF0000"/>
            </a:solidFill>
            <a:ln>
              <a:noFill/>
            </a:ln>
            <a:effectLst/>
          </c:spPr>
          <c:invertIfNegative val="0"/>
          <c:cat>
            <c:strRef>
              <c:f>Dashboard!$A$21:$A$120</c:f>
              <c:strCache>
                <c:ptCount val="100"/>
                <c:pt idx="0">
                  <c:v>A003-NVDA-20251018</c:v>
                </c:pt>
                <c:pt idx="1">
                  <c:v>A003-NVDA-20251015</c:v>
                </c:pt>
                <c:pt idx="2">
                  <c:v>A009-JPM-20251004</c:v>
                </c:pt>
                <c:pt idx="3">
                  <c:v>A008-META-20251008</c:v>
                </c:pt>
                <c:pt idx="4">
                  <c:v>A005-BABA-20251005</c:v>
                </c:pt>
                <c:pt idx="5">
                  <c:v>A002-META-20251016</c:v>
                </c:pt>
                <c:pt idx="6">
                  <c:v>A010-BABA-20251018</c:v>
                </c:pt>
                <c:pt idx="7">
                  <c:v>A007-AMZN-20251026</c:v>
                </c:pt>
                <c:pt idx="8">
                  <c:v>A008-AAPL-20251028</c:v>
                </c:pt>
                <c:pt idx="9">
                  <c:v>A005-MSFT-20251028</c:v>
                </c:pt>
                <c:pt idx="10">
                  <c:v>A003-TSLA-20251029</c:v>
                </c:pt>
                <c:pt idx="11">
                  <c:v>A010-GOOGL-20251016</c:v>
                </c:pt>
                <c:pt idx="12">
                  <c:v>A008-NFLX-20251027</c:v>
                </c:pt>
                <c:pt idx="13">
                  <c:v>A010-BABA-20251024</c:v>
                </c:pt>
                <c:pt idx="14">
                  <c:v>A006-META-20251027</c:v>
                </c:pt>
                <c:pt idx="15">
                  <c:v>A009-GOOGL-20251009</c:v>
                </c:pt>
                <c:pt idx="16">
                  <c:v>A001-MSFT-20251024</c:v>
                </c:pt>
                <c:pt idx="17">
                  <c:v>A003-NVDA-20251023</c:v>
                </c:pt>
                <c:pt idx="18">
                  <c:v>A001-BABA-20251005</c:v>
                </c:pt>
                <c:pt idx="19">
                  <c:v>A001-JPM-20251001</c:v>
                </c:pt>
                <c:pt idx="20">
                  <c:v>A004-AMZN-20251001</c:v>
                </c:pt>
                <c:pt idx="21">
                  <c:v>A003-META-20251011</c:v>
                </c:pt>
                <c:pt idx="22">
                  <c:v>A009-TSLA-20251027</c:v>
                </c:pt>
                <c:pt idx="23">
                  <c:v>A010-AAPL-20251029</c:v>
                </c:pt>
                <c:pt idx="24">
                  <c:v>A007-TSLA-20251008</c:v>
                </c:pt>
                <c:pt idx="25">
                  <c:v>A007-JPM-20251005</c:v>
                </c:pt>
                <c:pt idx="26">
                  <c:v>A005-JPM-20251021</c:v>
                </c:pt>
                <c:pt idx="27">
                  <c:v>A005-META-20251020</c:v>
                </c:pt>
                <c:pt idx="28">
                  <c:v>A009-NFLX-20251011</c:v>
                </c:pt>
                <c:pt idx="29">
                  <c:v>A010-MSFT-20251029</c:v>
                </c:pt>
                <c:pt idx="30">
                  <c:v>A002-GOOGL-20251029</c:v>
                </c:pt>
                <c:pt idx="31">
                  <c:v>A006-AMZN-20251008</c:v>
                </c:pt>
                <c:pt idx="32">
                  <c:v>A002-BABA-20251025</c:v>
                </c:pt>
                <c:pt idx="33">
                  <c:v>A005-BABA-20251026</c:v>
                </c:pt>
                <c:pt idx="34">
                  <c:v>A008-META-20251030</c:v>
                </c:pt>
                <c:pt idx="35">
                  <c:v>A006-GOOGL-20251002</c:v>
                </c:pt>
                <c:pt idx="36">
                  <c:v>A002-META-20251015</c:v>
                </c:pt>
                <c:pt idx="37">
                  <c:v>A005-NVDA-20251015</c:v>
                </c:pt>
                <c:pt idx="38">
                  <c:v>A005-NVDA-20251014</c:v>
                </c:pt>
                <c:pt idx="39">
                  <c:v>A010-NFLX-20251005</c:v>
                </c:pt>
                <c:pt idx="40">
                  <c:v>A003-AMZN-20251030</c:v>
                </c:pt>
                <c:pt idx="41">
                  <c:v>A010-META-20251004</c:v>
                </c:pt>
                <c:pt idx="42">
                  <c:v>A009-TSLA-20251004</c:v>
                </c:pt>
                <c:pt idx="43">
                  <c:v>A007-META-20251022</c:v>
                </c:pt>
                <c:pt idx="44">
                  <c:v>A010-NVDA-20251002</c:v>
                </c:pt>
                <c:pt idx="45">
                  <c:v>A005-GOOGL-20251005</c:v>
                </c:pt>
                <c:pt idx="46">
                  <c:v>A005-AMZN-20251002</c:v>
                </c:pt>
                <c:pt idx="47">
                  <c:v>A006-BABA-20251014</c:v>
                </c:pt>
                <c:pt idx="48">
                  <c:v>A004-JPM-20251016</c:v>
                </c:pt>
                <c:pt idx="49">
                  <c:v>A003-MSFT-20251014</c:v>
                </c:pt>
                <c:pt idx="50">
                  <c:v>A001-AMZN-20251002</c:v>
                </c:pt>
                <c:pt idx="51">
                  <c:v>A002-META-20251017</c:v>
                </c:pt>
                <c:pt idx="52">
                  <c:v>A001-AMZN-20251015</c:v>
                </c:pt>
                <c:pt idx="53">
                  <c:v>A001-META-20251001</c:v>
                </c:pt>
                <c:pt idx="54">
                  <c:v>A001-META-20251002</c:v>
                </c:pt>
                <c:pt idx="55">
                  <c:v>A001-MSFT-20251008</c:v>
                </c:pt>
                <c:pt idx="56">
                  <c:v>A008-AAPL-20251030</c:v>
                </c:pt>
                <c:pt idx="57">
                  <c:v>A004-BABA-20251005</c:v>
                </c:pt>
                <c:pt idx="58">
                  <c:v>A002-JPM-20251019</c:v>
                </c:pt>
                <c:pt idx="59">
                  <c:v>A009-META-20251030</c:v>
                </c:pt>
                <c:pt idx="60">
                  <c:v>A007-GOOGL-20251010</c:v>
                </c:pt>
                <c:pt idx="61">
                  <c:v>A001-BABA-20251017</c:v>
                </c:pt>
                <c:pt idx="62">
                  <c:v>A004-AMZN-20251002</c:v>
                </c:pt>
                <c:pt idx="63">
                  <c:v>A008-AAPL-20251026</c:v>
                </c:pt>
                <c:pt idx="64">
                  <c:v>A004-NVDA-20251027</c:v>
                </c:pt>
                <c:pt idx="65">
                  <c:v>A003-TSLA-20251027</c:v>
                </c:pt>
                <c:pt idx="66">
                  <c:v>A009-BABA-20251020</c:v>
                </c:pt>
                <c:pt idx="67">
                  <c:v>A007-GOOGL-20251011</c:v>
                </c:pt>
                <c:pt idx="68">
                  <c:v>A005-JPM-20251025</c:v>
                </c:pt>
                <c:pt idx="69">
                  <c:v>A006-GOOGL-20251008</c:v>
                </c:pt>
                <c:pt idx="70">
                  <c:v>A003-JPM-20251027</c:v>
                </c:pt>
                <c:pt idx="71">
                  <c:v>A006-TSLA-20251031</c:v>
                </c:pt>
                <c:pt idx="72">
                  <c:v>A004-JPM-20251021</c:v>
                </c:pt>
                <c:pt idx="73">
                  <c:v>A001-AMZN-20251029</c:v>
                </c:pt>
                <c:pt idx="74">
                  <c:v>A004-NVDA-20251030</c:v>
                </c:pt>
                <c:pt idx="75">
                  <c:v>A006-NVDA-20251008</c:v>
                </c:pt>
                <c:pt idx="76">
                  <c:v>A005-NVDA-20251021</c:v>
                </c:pt>
                <c:pt idx="77">
                  <c:v>A004-TSLA-20251019</c:v>
                </c:pt>
                <c:pt idx="78">
                  <c:v>A010-GOOGL-20251004</c:v>
                </c:pt>
                <c:pt idx="79">
                  <c:v>A006-JPM-20251023</c:v>
                </c:pt>
                <c:pt idx="80">
                  <c:v>A005-NVDA-20251008</c:v>
                </c:pt>
                <c:pt idx="81">
                  <c:v>A004-AAPL-20251009</c:v>
                </c:pt>
                <c:pt idx="82">
                  <c:v>A004-MSFT-20251031</c:v>
                </c:pt>
                <c:pt idx="83">
                  <c:v>A006-BABA-20251022</c:v>
                </c:pt>
                <c:pt idx="84">
                  <c:v>A010-AMZN-20251020</c:v>
                </c:pt>
                <c:pt idx="85">
                  <c:v>A004-MSFT-20251023</c:v>
                </c:pt>
                <c:pt idx="86">
                  <c:v>A001-AAPL-20251005</c:v>
                </c:pt>
                <c:pt idx="87">
                  <c:v>A004-JPM-20251024</c:v>
                </c:pt>
                <c:pt idx="88">
                  <c:v>A004-NVDA-20251022</c:v>
                </c:pt>
                <c:pt idx="89">
                  <c:v>A002-META-20251006</c:v>
                </c:pt>
                <c:pt idx="90">
                  <c:v>A005-GOOGL-20251005</c:v>
                </c:pt>
                <c:pt idx="91">
                  <c:v>A006-META-20251018</c:v>
                </c:pt>
                <c:pt idx="92">
                  <c:v>A009-META-20251014</c:v>
                </c:pt>
                <c:pt idx="93">
                  <c:v>A008-BABA-20251019</c:v>
                </c:pt>
                <c:pt idx="94">
                  <c:v>A001-BABA-20251022</c:v>
                </c:pt>
                <c:pt idx="95">
                  <c:v>A009-BABA-20251008</c:v>
                </c:pt>
                <c:pt idx="96">
                  <c:v>A002-BABA-20251013</c:v>
                </c:pt>
                <c:pt idx="97">
                  <c:v>A003-NVDA-20251021</c:v>
                </c:pt>
                <c:pt idx="98">
                  <c:v>A010-NVDA-20251017</c:v>
                </c:pt>
                <c:pt idx="99">
                  <c:v>A009-AAPL-20251028</c:v>
                </c:pt>
              </c:strCache>
            </c:strRef>
          </c:cat>
          <c:val>
            <c:numRef>
              <c:f>Dashboard!$C$21:$C$120</c:f>
              <c:numCache>
                <c:formatCode>0.00</c:formatCode>
                <c:ptCount val="100"/>
                <c:pt idx="0">
                  <c:v>385.7406007706013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-13.031097794100788</c:v>
                </c:pt>
                <c:pt idx="96">
                  <c:v>-64.083389020699542</c:v>
                </c:pt>
                <c:pt idx="97">
                  <c:v>-123.98065717089776</c:v>
                </c:pt>
                <c:pt idx="98">
                  <c:v>-163.25373397690055</c:v>
                </c:pt>
                <c:pt idx="99">
                  <c:v>-418.43566921399906</c:v>
                </c:pt>
              </c:numCache>
            </c:numRef>
          </c:val>
        </c:ser>
        <c:dLbls>
          <c:showLegendKey val="0"/>
          <c:showVal val="0"/>
          <c:showCatName val="0"/>
          <c:showSerName val="0"/>
          <c:showPercent val="0"/>
          <c:showBubbleSize val="0"/>
        </c:dLbls>
        <c:gapWidth val="219"/>
        <c:axId val="-1934137168"/>
        <c:axId val="-1934125200"/>
      </c:barChart>
      <c:catAx>
        <c:axId val="-193413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125200"/>
        <c:crosses val="autoZero"/>
        <c:auto val="1"/>
        <c:lblAlgn val="ctr"/>
        <c:lblOffset val="100"/>
        <c:noMultiLvlLbl val="0"/>
      </c:catAx>
      <c:valAx>
        <c:axId val="-1934125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13716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[Cash_Position_Reconciliation.xlsx]Dashboard!PivotTable1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Mismatches by UniqueKey</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Dashboard!$I$31</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Dashboard!$H$32:$H$42</c:f>
              <c:strCache>
                <c:ptCount val="10"/>
                <c:pt idx="0">
                  <c:v>A001-BABA-20251017</c:v>
                </c:pt>
                <c:pt idx="1">
                  <c:v>A002-BABA-20251013</c:v>
                </c:pt>
                <c:pt idx="2">
                  <c:v>A002-META-20251017</c:v>
                </c:pt>
                <c:pt idx="3">
                  <c:v>A003-NVDA-20251018</c:v>
                </c:pt>
                <c:pt idx="4">
                  <c:v>A003-NVDA-20251021</c:v>
                </c:pt>
                <c:pt idx="5">
                  <c:v>A008-AAPL-20251030</c:v>
                </c:pt>
                <c:pt idx="6">
                  <c:v>A008-NFLX-20251027</c:v>
                </c:pt>
                <c:pt idx="7">
                  <c:v>A009-AAPL-20251028</c:v>
                </c:pt>
                <c:pt idx="8">
                  <c:v>A009-BABA-20251008</c:v>
                </c:pt>
                <c:pt idx="9">
                  <c:v>A010-NVDA-20251017</c:v>
                </c:pt>
              </c:strCache>
            </c:strRef>
          </c:cat>
          <c:val>
            <c:numRef>
              <c:f>Dashboard!$I$32:$I$42</c:f>
              <c:numCache>
                <c:formatCode>General</c:formatCode>
                <c:ptCount val="10"/>
                <c:pt idx="0">
                  <c:v>1</c:v>
                </c:pt>
                <c:pt idx="1">
                  <c:v>1</c:v>
                </c:pt>
                <c:pt idx="2">
                  <c:v>1</c:v>
                </c:pt>
                <c:pt idx="3">
                  <c:v>1</c:v>
                </c:pt>
                <c:pt idx="4">
                  <c:v>1</c:v>
                </c:pt>
                <c:pt idx="5">
                  <c:v>1</c:v>
                </c:pt>
                <c:pt idx="6">
                  <c:v>1</c:v>
                </c:pt>
                <c:pt idx="7">
                  <c:v>1</c:v>
                </c:pt>
                <c:pt idx="8">
                  <c:v>1</c:v>
                </c:pt>
                <c:pt idx="9">
                  <c:v>1</c:v>
                </c:pt>
              </c:numCache>
            </c:numRef>
          </c:val>
        </c:ser>
        <c:dLbls>
          <c:showLegendKey val="0"/>
          <c:showVal val="0"/>
          <c:showCatName val="0"/>
          <c:showSerName val="0"/>
          <c:showPercent val="0"/>
          <c:showBubbleSize val="0"/>
        </c:dLbls>
        <c:gapWidth val="182"/>
        <c:axId val="-1934136624"/>
        <c:axId val="-1934130096"/>
      </c:barChart>
      <c:catAx>
        <c:axId val="-193413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130096"/>
        <c:crosses val="autoZero"/>
        <c:auto val="1"/>
        <c:lblAlgn val="ctr"/>
        <c:lblOffset val="100"/>
        <c:noMultiLvlLbl val="0"/>
      </c:catAx>
      <c:valAx>
        <c:axId val="-1934130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136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333375</xdr:colOff>
      <xdr:row>0</xdr:row>
      <xdr:rowOff>180445</xdr:rowOff>
    </xdr:from>
    <xdr:to>
      <xdr:col>18</xdr:col>
      <xdr:colOff>180976</xdr:colOff>
      <xdr:row>18</xdr:row>
      <xdr:rowOff>148167</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285750</xdr:colOff>
      <xdr:row>0</xdr:row>
      <xdr:rowOff>174625</xdr:rowOff>
    </xdr:from>
    <xdr:to>
      <xdr:col>11</xdr:col>
      <xdr:colOff>303742</xdr:colOff>
      <xdr:row>18</xdr:row>
      <xdr:rowOff>169332</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30165</xdr:colOff>
      <xdr:row>27</xdr:row>
      <xdr:rowOff>185208</xdr:rowOff>
    </xdr:from>
    <xdr:to>
      <xdr:col>16</xdr:col>
      <xdr:colOff>353483</xdr:colOff>
      <xdr:row>42</xdr:row>
      <xdr:rowOff>70908</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338667</xdr:colOff>
      <xdr:row>19</xdr:row>
      <xdr:rowOff>13759</xdr:rowOff>
    </xdr:from>
    <xdr:to>
      <xdr:col>13</xdr:col>
      <xdr:colOff>334433</xdr:colOff>
      <xdr:row>24</xdr:row>
      <xdr:rowOff>175684</xdr:rowOff>
    </xdr:to>
    <mc:AlternateContent xmlns:mc="http://schemas.openxmlformats.org/markup-compatibility/2006">
      <mc:Choice xmlns:a14="http://schemas.microsoft.com/office/drawing/2010/main" Requires="a14">
        <xdr:graphicFrame macro="">
          <xdr:nvGraphicFramePr>
            <xdr:cNvPr id="18"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9345084" y="3633259"/>
              <a:ext cx="1837266"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495301</xdr:colOff>
      <xdr:row>19</xdr:row>
      <xdr:rowOff>11641</xdr:rowOff>
    </xdr:from>
    <xdr:to>
      <xdr:col>10</xdr:col>
      <xdr:colOff>289983</xdr:colOff>
      <xdr:row>24</xdr:row>
      <xdr:rowOff>184150</xdr:rowOff>
    </xdr:to>
    <mc:AlternateContent xmlns:mc="http://schemas.openxmlformats.org/markup-compatibility/2006">
      <mc:Choice xmlns:a14="http://schemas.microsoft.com/office/drawing/2010/main" Requires="a14">
        <xdr:graphicFrame macro="">
          <xdr:nvGraphicFramePr>
            <xdr:cNvPr id="19" name="Account"/>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dr:sp macro="" textlink="">
          <xdr:nvSpPr>
            <xdr:cNvPr id="0" name=""/>
            <xdr:cNvSpPr>
              <a:spLocks noTextEdit="1"/>
            </xdr:cNvSpPr>
          </xdr:nvSpPr>
          <xdr:spPr>
            <a:xfrm>
              <a:off x="7459134" y="3631141"/>
              <a:ext cx="1837266" cy="11250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31750</xdr:colOff>
      <xdr:row>19</xdr:row>
      <xdr:rowOff>34925</xdr:rowOff>
    </xdr:from>
    <xdr:to>
      <xdr:col>8</xdr:col>
      <xdr:colOff>474134</xdr:colOff>
      <xdr:row>25</xdr:row>
      <xdr:rowOff>6350</xdr:rowOff>
    </xdr:to>
    <mc:AlternateContent xmlns:mc="http://schemas.openxmlformats.org/markup-compatibility/2006">
      <mc:Choice xmlns:a14="http://schemas.microsoft.com/office/drawing/2010/main" Requires="a14">
        <xdr:graphicFrame macro="">
          <xdr:nvGraphicFramePr>
            <xdr:cNvPr id="20" name="Security"/>
            <xdr:cNvGraphicFramePr/>
          </xdr:nvGraphicFramePr>
          <xdr:xfrm>
            <a:off x="0" y="0"/>
            <a:ext cx="0" cy="0"/>
          </xdr:xfrm>
          <a:graphic>
            <a:graphicData uri="http://schemas.microsoft.com/office/drawing/2010/slicer">
              <sle:slicer xmlns:sle="http://schemas.microsoft.com/office/drawing/2010/slicer" name="Security"/>
            </a:graphicData>
          </a:graphic>
        </xdr:graphicFrame>
      </mc:Choice>
      <mc:Fallback>
        <xdr:sp macro="" textlink="">
          <xdr:nvSpPr>
            <xdr:cNvPr id="0" name=""/>
            <xdr:cNvSpPr>
              <a:spLocks noTextEdit="1"/>
            </xdr:cNvSpPr>
          </xdr:nvSpPr>
          <xdr:spPr>
            <a:xfrm>
              <a:off x="5609167" y="3654425"/>
              <a:ext cx="18288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65.649200694446" createdVersion="5" refreshedVersion="5" minRefreshableVersion="3" recordCount="100">
  <cacheSource type="worksheet">
    <worksheetSource ref="A1:K101" sheet="Reconciliation"/>
  </cacheSource>
  <cacheFields count="11">
    <cacheField name="UniqueKey" numFmtId="49">
      <sharedItems count="99">
        <s v="A003-NVDA-20251015"/>
        <s v="A009-JPM-20251004"/>
        <s v="A008-META-20251008"/>
        <s v="A005-BABA-20251005"/>
        <s v="A002-META-20251016"/>
        <s v="A010-BABA-20251018"/>
        <s v="A007-AMZN-20251026"/>
        <s v="A008-AAPL-20251028"/>
        <s v="A005-MSFT-20251028"/>
        <s v="A003-TSLA-20251029"/>
        <s v="A003-NVDA-20251018"/>
        <s v="A010-GOOGL-20251016"/>
        <s v="A008-NFLX-20251027"/>
        <s v="A010-BABA-20251024"/>
        <s v="A006-META-20251027"/>
        <s v="A009-GOOGL-20251009"/>
        <s v="A001-MSFT-20251024"/>
        <s v="A003-NVDA-20251023"/>
        <s v="A001-BABA-20251005"/>
        <s v="A001-JPM-20251001"/>
        <s v="A004-AMZN-20251001"/>
        <s v="A003-META-20251011"/>
        <s v="A009-TSLA-20251027"/>
        <s v="A010-AAPL-20251029"/>
        <s v="A007-TSLA-20251008"/>
        <s v="A007-JPM-20251005"/>
        <s v="A005-JPM-20251021"/>
        <s v="A005-META-20251020"/>
        <s v="A009-NFLX-20251011"/>
        <s v="A010-MSFT-20251029"/>
        <s v="A002-GOOGL-20251029"/>
        <s v="A006-AMZN-20251008"/>
        <s v="A002-BABA-20251025"/>
        <s v="A005-BABA-20251026"/>
        <s v="A008-META-20251030"/>
        <s v="A006-GOOGL-20251002"/>
        <s v="A002-META-20251015"/>
        <s v="A005-NVDA-20251015"/>
        <s v="A005-NVDA-20251014"/>
        <s v="A010-NFLX-20251005"/>
        <s v="A003-AMZN-20251030"/>
        <s v="A010-META-20251004"/>
        <s v="A009-TSLA-20251004"/>
        <s v="A002-BABA-20251013"/>
        <s v="A007-META-20251022"/>
        <s v="A010-NVDA-20251002"/>
        <s v="A005-GOOGL-20251005"/>
        <s v="A005-AMZN-20251002"/>
        <s v="A006-BABA-20251014"/>
        <s v="A004-JPM-20251016"/>
        <s v="A003-MSFT-20251014"/>
        <s v="A001-AMZN-20251002"/>
        <s v="A002-META-20251017"/>
        <s v="A001-AMZN-20251015"/>
        <s v="A001-META-20251001"/>
        <s v="A001-META-20251002"/>
        <s v="A001-MSFT-20251008"/>
        <s v="A008-AAPL-20251030"/>
        <s v="A004-BABA-20251005"/>
        <s v="A002-JPM-20251019"/>
        <s v="A009-META-20251030"/>
        <s v="A007-GOOGL-20251010"/>
        <s v="A001-BABA-20251017"/>
        <s v="A004-AMZN-20251002"/>
        <s v="A003-NVDA-20251021"/>
        <s v="A008-AAPL-20251026"/>
        <s v="A004-NVDA-20251027"/>
        <s v="A003-TSLA-20251027"/>
        <s v="A009-BABA-20251020"/>
        <s v="A007-GOOGL-20251011"/>
        <s v="A010-NVDA-20251017"/>
        <s v="A005-JPM-20251025"/>
        <s v="A006-GOOGL-20251008"/>
        <s v="A003-JPM-20251027"/>
        <s v="A006-TSLA-20251031"/>
        <s v="A004-JPM-20251021"/>
        <s v="A001-AMZN-20251029"/>
        <s v="A004-NVDA-20251030"/>
        <s v="A006-NVDA-20251008"/>
        <s v="A009-BABA-20251008"/>
        <s v="A005-NVDA-20251021"/>
        <s v="A004-TSLA-20251019"/>
        <s v="A010-GOOGL-20251004"/>
        <s v="A006-JPM-20251023"/>
        <s v="A005-NVDA-20251008"/>
        <s v="A004-AAPL-20251009"/>
        <s v="A004-MSFT-20251031"/>
        <s v="A006-BABA-20251022"/>
        <s v="A010-AMZN-20251020"/>
        <s v="A004-MSFT-20251023"/>
        <s v="A001-AAPL-20251005"/>
        <s v="A004-JPM-20251024"/>
        <s v="A004-NVDA-20251022"/>
        <s v="A002-META-20251006"/>
        <s v="A006-META-20251018"/>
        <s v="A009-META-20251014"/>
        <s v="A008-BABA-20251019"/>
        <s v="A001-BABA-20251022"/>
        <s v="A009-AAPL-20251028"/>
      </sharedItems>
    </cacheField>
    <cacheField name="Date" numFmtId="14">
      <sharedItems containsSemiMixedTypes="0" containsNonDate="0" containsDate="1" containsString="0" minDate="2025-10-01T00:00:00" maxDate="2025-11-01T00:00:00" count="28">
        <d v="2025-10-15T00:00:00"/>
        <d v="2025-10-04T00:00:00"/>
        <d v="2025-10-08T00:00:00"/>
        <d v="2025-10-05T00:00:00"/>
        <d v="2025-10-16T00:00:00"/>
        <d v="2025-10-18T00:00:00"/>
        <d v="2025-10-26T00:00:00"/>
        <d v="2025-10-28T00:00:00"/>
        <d v="2025-10-29T00:00:00"/>
        <d v="2025-10-27T00:00:00"/>
        <d v="2025-10-24T00:00:00"/>
        <d v="2025-10-09T00:00:00"/>
        <d v="2025-10-23T00:00:00"/>
        <d v="2025-10-01T00:00:00"/>
        <d v="2025-10-11T00:00:00"/>
        <d v="2025-10-21T00:00:00"/>
        <d v="2025-10-20T00:00:00"/>
        <d v="2025-10-25T00:00:00"/>
        <d v="2025-10-30T00:00:00"/>
        <d v="2025-10-02T00:00:00"/>
        <d v="2025-10-14T00:00:00"/>
        <d v="2025-10-13T00:00:00"/>
        <d v="2025-10-22T00:00:00"/>
        <d v="2025-10-17T00:00:00"/>
        <d v="2025-10-19T00:00:00"/>
        <d v="2025-10-10T00:00:00"/>
        <d v="2025-10-31T00:00:00"/>
        <d v="2025-10-06T00:00:00"/>
      </sharedItems>
    </cacheField>
    <cacheField name="Account" numFmtId="0">
      <sharedItems count="10">
        <s v="A003"/>
        <s v="A009"/>
        <s v="A008"/>
        <s v="A005"/>
        <s v="A002"/>
        <s v="A010"/>
        <s v="A007"/>
        <s v="A006"/>
        <s v="A001"/>
        <s v="A004"/>
      </sharedItems>
    </cacheField>
    <cacheField name="Security" numFmtId="0">
      <sharedItems count="10">
        <s v="NVDA"/>
        <s v="JPM"/>
        <s v="META"/>
        <s v="BABA"/>
        <s v="AMZN"/>
        <s v="AAPL"/>
        <s v="MSFT"/>
        <s v="TSLA"/>
        <s v="GOOGL"/>
        <s v="NFLX"/>
      </sharedItems>
    </cacheField>
    <cacheField name="Internal_Quantity" numFmtId="2">
      <sharedItems containsSemiMixedTypes="0" containsString="0" containsNumber="1" containsInteger="1" minValue="53" maxValue="498"/>
    </cacheField>
    <cacheField name="Internal_Value" numFmtId="2">
      <sharedItems containsSemiMixedTypes="0" containsString="0" containsNumber="1" minValue="8903.52" maxValue="223048.83"/>
    </cacheField>
    <cacheField name="Custodian_Quantity" numFmtId="2">
      <sharedItems containsSemiMixedTypes="0" containsString="0" containsNumber="1" containsInteger="1" minValue="53" maxValue="498"/>
    </cacheField>
    <cacheField name="Custodian_Value" numFmtId="2">
      <sharedItems containsSemiMixedTypes="0" containsString="0" containsNumber="1" minValue="8903.52" maxValue="223048.83"/>
    </cacheField>
    <cacheField name="Quantity_Diff" numFmtId="1">
      <sharedItems containsSemiMixedTypes="0" containsString="0" containsNumber="1" containsInteger="1" minValue="-4" maxValue="4"/>
    </cacheField>
    <cacheField name="Value_Diff" numFmtId="2">
      <sharedItems containsSemiMixedTypes="0" containsString="0" containsNumber="1" minValue="-418.43566921399906" maxValue="385.7406007706013"/>
    </cacheField>
    <cacheField name="Match_Status" numFmtId="49">
      <sharedItems count="2">
        <s v="MATCH"/>
        <s v="MISMATCH"/>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x v="0"/>
    <x v="0"/>
    <x v="0"/>
    <x v="0"/>
    <n v="272"/>
    <n v="78768.44"/>
    <n v="272"/>
    <n v="78768.44"/>
    <n v="0"/>
    <n v="0"/>
    <x v="0"/>
  </r>
  <r>
    <x v="1"/>
    <x v="1"/>
    <x v="1"/>
    <x v="1"/>
    <n v="392"/>
    <n v="53657.1"/>
    <n v="392"/>
    <n v="53657.1"/>
    <n v="0"/>
    <n v="0"/>
    <x v="0"/>
  </r>
  <r>
    <x v="2"/>
    <x v="2"/>
    <x v="2"/>
    <x v="2"/>
    <n v="90"/>
    <n v="24216.15"/>
    <n v="90"/>
    <n v="24216.15"/>
    <n v="0"/>
    <n v="0"/>
    <x v="0"/>
  </r>
  <r>
    <x v="3"/>
    <x v="3"/>
    <x v="3"/>
    <x v="3"/>
    <n v="84"/>
    <n v="11371.4"/>
    <n v="84"/>
    <n v="11371.4"/>
    <n v="0"/>
    <n v="0"/>
    <x v="0"/>
  </r>
  <r>
    <x v="4"/>
    <x v="4"/>
    <x v="4"/>
    <x v="2"/>
    <n v="83"/>
    <n v="38215.379999999997"/>
    <n v="83"/>
    <n v="38215.379999999997"/>
    <n v="0"/>
    <n v="0"/>
    <x v="0"/>
  </r>
  <r>
    <x v="5"/>
    <x v="5"/>
    <x v="5"/>
    <x v="3"/>
    <n v="73"/>
    <n v="12030.2"/>
    <n v="73"/>
    <n v="12030.2"/>
    <n v="0"/>
    <n v="0"/>
    <x v="0"/>
  </r>
  <r>
    <x v="6"/>
    <x v="6"/>
    <x v="6"/>
    <x v="4"/>
    <n v="328"/>
    <n v="88945.42"/>
    <n v="328"/>
    <n v="88945.42"/>
    <n v="0"/>
    <n v="0"/>
    <x v="0"/>
  </r>
  <r>
    <x v="7"/>
    <x v="7"/>
    <x v="2"/>
    <x v="5"/>
    <n v="265"/>
    <n v="128766.49"/>
    <n v="265"/>
    <n v="128766.49"/>
    <n v="0"/>
    <n v="0"/>
    <x v="0"/>
  </r>
  <r>
    <x v="8"/>
    <x v="7"/>
    <x v="3"/>
    <x v="6"/>
    <n v="245"/>
    <n v="68380.25"/>
    <n v="245"/>
    <n v="68380.25"/>
    <n v="0"/>
    <n v="0"/>
    <x v="0"/>
  </r>
  <r>
    <x v="9"/>
    <x v="8"/>
    <x v="0"/>
    <x v="7"/>
    <n v="329"/>
    <n v="132259.07"/>
    <n v="329"/>
    <n v="132259.07"/>
    <n v="0"/>
    <n v="0"/>
    <x v="0"/>
  </r>
  <r>
    <x v="10"/>
    <x v="5"/>
    <x v="0"/>
    <x v="0"/>
    <n v="249"/>
    <n v="54431.19"/>
    <n v="249"/>
    <n v="54045.449399229401"/>
    <n v="0"/>
    <n v="385.7406007706013"/>
    <x v="1"/>
  </r>
  <r>
    <x v="11"/>
    <x v="4"/>
    <x v="5"/>
    <x v="8"/>
    <n v="383"/>
    <n v="91763.28"/>
    <n v="383"/>
    <n v="91763.28"/>
    <n v="0"/>
    <n v="0"/>
    <x v="0"/>
  </r>
  <r>
    <x v="12"/>
    <x v="9"/>
    <x v="2"/>
    <x v="9"/>
    <n v="126"/>
    <n v="50752.99"/>
    <n v="130"/>
    <n v="50752.99"/>
    <n v="-4"/>
    <n v="0"/>
    <x v="1"/>
  </r>
  <r>
    <x v="13"/>
    <x v="10"/>
    <x v="5"/>
    <x v="3"/>
    <n v="86"/>
    <n v="36901.58"/>
    <n v="86"/>
    <n v="36901.58"/>
    <n v="0"/>
    <n v="0"/>
    <x v="0"/>
  </r>
  <r>
    <x v="14"/>
    <x v="9"/>
    <x v="7"/>
    <x v="2"/>
    <n v="90"/>
    <n v="29155.93"/>
    <n v="90"/>
    <n v="29155.93"/>
    <n v="0"/>
    <n v="0"/>
    <x v="0"/>
  </r>
  <r>
    <x v="15"/>
    <x v="11"/>
    <x v="1"/>
    <x v="8"/>
    <n v="326"/>
    <n v="120209.51"/>
    <n v="326"/>
    <n v="120209.51"/>
    <n v="0"/>
    <n v="0"/>
    <x v="0"/>
  </r>
  <r>
    <x v="16"/>
    <x v="10"/>
    <x v="8"/>
    <x v="6"/>
    <n v="473"/>
    <n v="105795.84"/>
    <n v="473"/>
    <n v="105795.84"/>
    <n v="0"/>
    <n v="0"/>
    <x v="0"/>
  </r>
  <r>
    <x v="17"/>
    <x v="12"/>
    <x v="0"/>
    <x v="0"/>
    <n v="288"/>
    <n v="105904.83"/>
    <n v="288"/>
    <n v="105904.83"/>
    <n v="0"/>
    <n v="0"/>
    <x v="0"/>
  </r>
  <r>
    <x v="18"/>
    <x v="3"/>
    <x v="8"/>
    <x v="3"/>
    <n v="170"/>
    <n v="34416.47"/>
    <n v="170"/>
    <n v="34416.47"/>
    <n v="0"/>
    <n v="0"/>
    <x v="0"/>
  </r>
  <r>
    <x v="19"/>
    <x v="13"/>
    <x v="8"/>
    <x v="1"/>
    <n v="423"/>
    <n v="119959.15"/>
    <n v="423"/>
    <n v="119959.15"/>
    <n v="0"/>
    <n v="0"/>
    <x v="0"/>
  </r>
  <r>
    <x v="20"/>
    <x v="13"/>
    <x v="9"/>
    <x v="4"/>
    <n v="277"/>
    <n v="68579.41"/>
    <n v="277"/>
    <n v="68579.41"/>
    <n v="0"/>
    <n v="0"/>
    <x v="0"/>
  </r>
  <r>
    <x v="21"/>
    <x v="14"/>
    <x v="0"/>
    <x v="2"/>
    <n v="396"/>
    <n v="85599.76"/>
    <n v="396"/>
    <n v="85599.76"/>
    <n v="0"/>
    <n v="0"/>
    <x v="0"/>
  </r>
  <r>
    <x v="22"/>
    <x v="9"/>
    <x v="1"/>
    <x v="7"/>
    <n v="281"/>
    <n v="100183.03"/>
    <n v="281"/>
    <n v="100183.03"/>
    <n v="0"/>
    <n v="0"/>
    <x v="0"/>
  </r>
  <r>
    <x v="23"/>
    <x v="8"/>
    <x v="5"/>
    <x v="5"/>
    <n v="273"/>
    <n v="68241.64"/>
    <n v="273"/>
    <n v="68241.64"/>
    <n v="0"/>
    <n v="0"/>
    <x v="0"/>
  </r>
  <r>
    <x v="24"/>
    <x v="2"/>
    <x v="6"/>
    <x v="7"/>
    <n v="242"/>
    <n v="102176.26"/>
    <n v="242"/>
    <n v="102176.26"/>
    <n v="0"/>
    <n v="0"/>
    <x v="0"/>
  </r>
  <r>
    <x v="25"/>
    <x v="3"/>
    <x v="6"/>
    <x v="1"/>
    <n v="235"/>
    <n v="115607.85"/>
    <n v="235"/>
    <n v="115607.85"/>
    <n v="0"/>
    <n v="0"/>
    <x v="0"/>
  </r>
  <r>
    <x v="26"/>
    <x v="15"/>
    <x v="3"/>
    <x v="1"/>
    <n v="308"/>
    <n v="43044.33"/>
    <n v="308"/>
    <n v="43044.33"/>
    <n v="0"/>
    <n v="0"/>
    <x v="0"/>
  </r>
  <r>
    <x v="27"/>
    <x v="16"/>
    <x v="3"/>
    <x v="2"/>
    <n v="181"/>
    <n v="87911.52"/>
    <n v="181"/>
    <n v="87911.52"/>
    <n v="0"/>
    <n v="0"/>
    <x v="0"/>
  </r>
  <r>
    <x v="28"/>
    <x v="14"/>
    <x v="1"/>
    <x v="9"/>
    <n v="53"/>
    <n v="23412.61"/>
    <n v="53"/>
    <n v="23412.61"/>
    <n v="0"/>
    <n v="0"/>
    <x v="0"/>
  </r>
  <r>
    <x v="29"/>
    <x v="8"/>
    <x v="5"/>
    <x v="6"/>
    <n v="377"/>
    <n v="52014.21"/>
    <n v="377"/>
    <n v="52014.21"/>
    <n v="0"/>
    <n v="0"/>
    <x v="0"/>
  </r>
  <r>
    <x v="30"/>
    <x v="8"/>
    <x v="4"/>
    <x v="8"/>
    <n v="129"/>
    <n v="58130.86"/>
    <n v="129"/>
    <n v="58130.86"/>
    <n v="0"/>
    <n v="0"/>
    <x v="0"/>
  </r>
  <r>
    <x v="31"/>
    <x v="2"/>
    <x v="7"/>
    <x v="4"/>
    <n v="342"/>
    <n v="99738.03"/>
    <n v="342"/>
    <n v="99738.03"/>
    <n v="0"/>
    <n v="0"/>
    <x v="0"/>
  </r>
  <r>
    <x v="32"/>
    <x v="17"/>
    <x v="4"/>
    <x v="3"/>
    <n v="85"/>
    <n v="8903.52"/>
    <n v="85"/>
    <n v="8903.52"/>
    <n v="0"/>
    <n v="0"/>
    <x v="0"/>
  </r>
  <r>
    <x v="33"/>
    <x v="6"/>
    <x v="3"/>
    <x v="3"/>
    <n v="498"/>
    <n v="66488.899999999994"/>
    <n v="498"/>
    <n v="66488.899999999994"/>
    <n v="0"/>
    <n v="0"/>
    <x v="0"/>
  </r>
  <r>
    <x v="34"/>
    <x v="18"/>
    <x v="2"/>
    <x v="2"/>
    <n v="463"/>
    <n v="147338.91"/>
    <n v="463"/>
    <n v="147338.91"/>
    <n v="0"/>
    <n v="0"/>
    <x v="0"/>
  </r>
  <r>
    <x v="35"/>
    <x v="19"/>
    <x v="7"/>
    <x v="8"/>
    <n v="266"/>
    <n v="40024.97"/>
    <n v="266"/>
    <n v="40024.97"/>
    <n v="0"/>
    <n v="0"/>
    <x v="0"/>
  </r>
  <r>
    <x v="36"/>
    <x v="0"/>
    <x v="4"/>
    <x v="2"/>
    <n v="96"/>
    <n v="9058.73"/>
    <n v="96"/>
    <n v="9058.73"/>
    <n v="0"/>
    <n v="0"/>
    <x v="0"/>
  </r>
  <r>
    <x v="37"/>
    <x v="0"/>
    <x v="3"/>
    <x v="0"/>
    <n v="319"/>
    <n v="125642.88"/>
    <n v="319"/>
    <n v="125642.88"/>
    <n v="0"/>
    <n v="0"/>
    <x v="0"/>
  </r>
  <r>
    <x v="38"/>
    <x v="20"/>
    <x v="3"/>
    <x v="0"/>
    <n v="153"/>
    <n v="61211.14"/>
    <n v="153"/>
    <n v="61211.14"/>
    <n v="0"/>
    <n v="0"/>
    <x v="0"/>
  </r>
  <r>
    <x v="39"/>
    <x v="3"/>
    <x v="5"/>
    <x v="9"/>
    <n v="488"/>
    <n v="207633.81"/>
    <n v="488"/>
    <n v="207633.81"/>
    <n v="0"/>
    <n v="0"/>
    <x v="0"/>
  </r>
  <r>
    <x v="40"/>
    <x v="18"/>
    <x v="0"/>
    <x v="4"/>
    <n v="290"/>
    <n v="117792.68"/>
    <n v="290"/>
    <n v="117792.68"/>
    <n v="0"/>
    <n v="0"/>
    <x v="0"/>
  </r>
  <r>
    <x v="41"/>
    <x v="1"/>
    <x v="5"/>
    <x v="2"/>
    <n v="329"/>
    <n v="159900.10999999999"/>
    <n v="329"/>
    <n v="159900.10999999999"/>
    <n v="0"/>
    <n v="0"/>
    <x v="0"/>
  </r>
  <r>
    <x v="42"/>
    <x v="1"/>
    <x v="1"/>
    <x v="7"/>
    <n v="142"/>
    <n v="27414.16"/>
    <n v="142"/>
    <n v="27414.16"/>
    <n v="0"/>
    <n v="0"/>
    <x v="0"/>
  </r>
  <r>
    <x v="43"/>
    <x v="21"/>
    <x v="4"/>
    <x v="3"/>
    <n v="89"/>
    <n v="26436.54"/>
    <n v="89"/>
    <n v="26500.6233890207"/>
    <n v="0"/>
    <n v="-64.083389020699542"/>
    <x v="1"/>
  </r>
  <r>
    <x v="44"/>
    <x v="22"/>
    <x v="6"/>
    <x v="2"/>
    <n v="432"/>
    <n v="205232.96"/>
    <n v="432"/>
    <n v="205232.96"/>
    <n v="0"/>
    <n v="0"/>
    <x v="0"/>
  </r>
  <r>
    <x v="45"/>
    <x v="19"/>
    <x v="5"/>
    <x v="0"/>
    <n v="223"/>
    <n v="75896.03"/>
    <n v="223"/>
    <n v="75896.03"/>
    <n v="0"/>
    <n v="0"/>
    <x v="0"/>
  </r>
  <r>
    <x v="46"/>
    <x v="3"/>
    <x v="3"/>
    <x v="8"/>
    <n v="319"/>
    <n v="54674.79"/>
    <n v="319"/>
    <n v="54674.79"/>
    <n v="0"/>
    <n v="0"/>
    <x v="0"/>
  </r>
  <r>
    <x v="47"/>
    <x v="19"/>
    <x v="3"/>
    <x v="4"/>
    <n v="140"/>
    <n v="24421.1"/>
    <n v="140"/>
    <n v="24421.1"/>
    <n v="0"/>
    <n v="0"/>
    <x v="0"/>
  </r>
  <r>
    <x v="48"/>
    <x v="20"/>
    <x v="7"/>
    <x v="3"/>
    <n v="106"/>
    <n v="19090.3"/>
    <n v="106"/>
    <n v="19090.3"/>
    <n v="0"/>
    <n v="0"/>
    <x v="0"/>
  </r>
  <r>
    <x v="49"/>
    <x v="4"/>
    <x v="9"/>
    <x v="1"/>
    <n v="418"/>
    <n v="110154.27"/>
    <n v="418"/>
    <n v="110154.27"/>
    <n v="0"/>
    <n v="0"/>
    <x v="0"/>
  </r>
  <r>
    <x v="50"/>
    <x v="20"/>
    <x v="0"/>
    <x v="6"/>
    <n v="324"/>
    <n v="104846.25"/>
    <n v="324"/>
    <n v="104846.25"/>
    <n v="0"/>
    <n v="0"/>
    <x v="0"/>
  </r>
  <r>
    <x v="51"/>
    <x v="19"/>
    <x v="8"/>
    <x v="4"/>
    <n v="133"/>
    <n v="65191.79"/>
    <n v="133"/>
    <n v="65191.79"/>
    <n v="0"/>
    <n v="0"/>
    <x v="0"/>
  </r>
  <r>
    <x v="52"/>
    <x v="23"/>
    <x v="4"/>
    <x v="2"/>
    <n v="193"/>
    <n v="51249.99"/>
    <n v="195"/>
    <n v="51249.99"/>
    <n v="-2"/>
    <n v="0"/>
    <x v="1"/>
  </r>
  <r>
    <x v="53"/>
    <x v="0"/>
    <x v="8"/>
    <x v="4"/>
    <n v="350"/>
    <n v="162259.97"/>
    <n v="350"/>
    <n v="162259.97"/>
    <n v="0"/>
    <n v="0"/>
    <x v="0"/>
  </r>
  <r>
    <x v="54"/>
    <x v="13"/>
    <x v="8"/>
    <x v="2"/>
    <n v="187"/>
    <n v="36420.31"/>
    <n v="187"/>
    <n v="36420.31"/>
    <n v="0"/>
    <n v="0"/>
    <x v="0"/>
  </r>
  <r>
    <x v="55"/>
    <x v="19"/>
    <x v="8"/>
    <x v="2"/>
    <n v="388"/>
    <n v="96446.41"/>
    <n v="388"/>
    <n v="96446.41"/>
    <n v="0"/>
    <n v="0"/>
    <x v="0"/>
  </r>
  <r>
    <x v="56"/>
    <x v="2"/>
    <x v="8"/>
    <x v="6"/>
    <n v="300"/>
    <n v="101794.18"/>
    <n v="300"/>
    <n v="101794.18"/>
    <n v="0"/>
    <n v="0"/>
    <x v="0"/>
  </r>
  <r>
    <x v="57"/>
    <x v="18"/>
    <x v="2"/>
    <x v="5"/>
    <n v="256"/>
    <n v="87905.87"/>
    <n v="252"/>
    <n v="87905.87"/>
    <n v="4"/>
    <n v="0"/>
    <x v="1"/>
  </r>
  <r>
    <x v="58"/>
    <x v="3"/>
    <x v="9"/>
    <x v="3"/>
    <n v="190"/>
    <n v="26646.58"/>
    <n v="190"/>
    <n v="26646.58"/>
    <n v="0"/>
    <n v="0"/>
    <x v="0"/>
  </r>
  <r>
    <x v="59"/>
    <x v="24"/>
    <x v="4"/>
    <x v="1"/>
    <n v="255"/>
    <n v="89373.29"/>
    <n v="255"/>
    <n v="89373.29"/>
    <n v="0"/>
    <n v="0"/>
    <x v="0"/>
  </r>
  <r>
    <x v="60"/>
    <x v="18"/>
    <x v="1"/>
    <x v="2"/>
    <n v="392"/>
    <n v="105230.6"/>
    <n v="392"/>
    <n v="105230.6"/>
    <n v="0"/>
    <n v="0"/>
    <x v="0"/>
  </r>
  <r>
    <x v="61"/>
    <x v="25"/>
    <x v="6"/>
    <x v="8"/>
    <n v="67"/>
    <n v="20285.32"/>
    <n v="67"/>
    <n v="20285.32"/>
    <n v="0"/>
    <n v="0"/>
    <x v="0"/>
  </r>
  <r>
    <x v="62"/>
    <x v="23"/>
    <x v="8"/>
    <x v="3"/>
    <n v="172"/>
    <n v="69675.67"/>
    <n v="174"/>
    <n v="69675.67"/>
    <n v="-2"/>
    <n v="0"/>
    <x v="1"/>
  </r>
  <r>
    <x v="63"/>
    <x v="19"/>
    <x v="9"/>
    <x v="4"/>
    <n v="474"/>
    <n v="64335.93"/>
    <n v="474"/>
    <n v="64335.93"/>
    <n v="0"/>
    <n v="0"/>
    <x v="0"/>
  </r>
  <r>
    <x v="64"/>
    <x v="15"/>
    <x v="0"/>
    <x v="0"/>
    <n v="91"/>
    <n v="28471.040000000001"/>
    <n v="91"/>
    <n v="28595.020657170899"/>
    <n v="0"/>
    <n v="-123.98065717089776"/>
    <x v="1"/>
  </r>
  <r>
    <x v="65"/>
    <x v="6"/>
    <x v="2"/>
    <x v="5"/>
    <n v="475"/>
    <n v="125147.37"/>
    <n v="475"/>
    <n v="125147.37"/>
    <n v="0"/>
    <n v="0"/>
    <x v="0"/>
  </r>
  <r>
    <x v="66"/>
    <x v="9"/>
    <x v="9"/>
    <x v="0"/>
    <n v="498"/>
    <n v="147931.21"/>
    <n v="498"/>
    <n v="147931.21"/>
    <n v="0"/>
    <n v="0"/>
    <x v="0"/>
  </r>
  <r>
    <x v="67"/>
    <x v="9"/>
    <x v="0"/>
    <x v="7"/>
    <n v="329"/>
    <n v="54813.279999999999"/>
    <n v="329"/>
    <n v="54813.279999999999"/>
    <n v="0"/>
    <n v="0"/>
    <x v="0"/>
  </r>
  <r>
    <x v="68"/>
    <x v="16"/>
    <x v="1"/>
    <x v="3"/>
    <n v="481"/>
    <n v="223048.83"/>
    <n v="481"/>
    <n v="223048.83"/>
    <n v="0"/>
    <n v="0"/>
    <x v="0"/>
  </r>
  <r>
    <x v="69"/>
    <x v="14"/>
    <x v="6"/>
    <x v="8"/>
    <n v="208"/>
    <n v="66581.67"/>
    <n v="208"/>
    <n v="66581.67"/>
    <n v="0"/>
    <n v="0"/>
    <x v="0"/>
  </r>
  <r>
    <x v="70"/>
    <x v="23"/>
    <x v="5"/>
    <x v="0"/>
    <n v="66"/>
    <n v="30797.02"/>
    <n v="66"/>
    <n v="30960.273733976901"/>
    <n v="0"/>
    <n v="-163.25373397690055"/>
    <x v="1"/>
  </r>
  <r>
    <x v="71"/>
    <x v="17"/>
    <x v="3"/>
    <x v="1"/>
    <n v="489"/>
    <n v="68480.38"/>
    <n v="489"/>
    <n v="68480.38"/>
    <n v="0"/>
    <n v="0"/>
    <x v="0"/>
  </r>
  <r>
    <x v="72"/>
    <x v="2"/>
    <x v="7"/>
    <x v="8"/>
    <n v="359"/>
    <n v="73033.09"/>
    <n v="359"/>
    <n v="73033.09"/>
    <n v="0"/>
    <n v="0"/>
    <x v="0"/>
  </r>
  <r>
    <x v="73"/>
    <x v="9"/>
    <x v="0"/>
    <x v="1"/>
    <n v="71"/>
    <n v="13162.86"/>
    <n v="71"/>
    <n v="13162.86"/>
    <n v="0"/>
    <n v="0"/>
    <x v="0"/>
  </r>
  <r>
    <x v="74"/>
    <x v="26"/>
    <x v="7"/>
    <x v="7"/>
    <n v="73"/>
    <n v="21242.69"/>
    <n v="73"/>
    <n v="21242.69"/>
    <n v="0"/>
    <n v="0"/>
    <x v="0"/>
  </r>
  <r>
    <x v="75"/>
    <x v="15"/>
    <x v="9"/>
    <x v="1"/>
    <n v="414"/>
    <n v="156079.98000000001"/>
    <n v="414"/>
    <n v="156079.98000000001"/>
    <n v="0"/>
    <n v="0"/>
    <x v="0"/>
  </r>
  <r>
    <x v="76"/>
    <x v="8"/>
    <x v="8"/>
    <x v="4"/>
    <n v="123"/>
    <n v="21993.31"/>
    <n v="123"/>
    <n v="21993.31"/>
    <n v="0"/>
    <n v="0"/>
    <x v="0"/>
  </r>
  <r>
    <x v="77"/>
    <x v="18"/>
    <x v="9"/>
    <x v="0"/>
    <n v="414"/>
    <n v="100515.59"/>
    <n v="414"/>
    <n v="100515.59"/>
    <n v="0"/>
    <n v="0"/>
    <x v="0"/>
  </r>
  <r>
    <x v="78"/>
    <x v="2"/>
    <x v="7"/>
    <x v="0"/>
    <n v="452"/>
    <n v="68499.350000000006"/>
    <n v="452"/>
    <n v="68499.350000000006"/>
    <n v="0"/>
    <n v="0"/>
    <x v="0"/>
  </r>
  <r>
    <x v="79"/>
    <x v="2"/>
    <x v="1"/>
    <x v="3"/>
    <n v="67"/>
    <n v="21617.73"/>
    <n v="67"/>
    <n v="21630.7610977941"/>
    <n v="0"/>
    <n v="-13.031097794100788"/>
    <x v="1"/>
  </r>
  <r>
    <x v="80"/>
    <x v="15"/>
    <x v="3"/>
    <x v="0"/>
    <n v="59"/>
    <n v="10361.469999999999"/>
    <n v="59"/>
    <n v="10361.469999999999"/>
    <n v="0"/>
    <n v="0"/>
    <x v="0"/>
  </r>
  <r>
    <x v="81"/>
    <x v="24"/>
    <x v="9"/>
    <x v="7"/>
    <n v="364"/>
    <n v="138568.26999999999"/>
    <n v="364"/>
    <n v="138568.26999999999"/>
    <n v="0"/>
    <n v="0"/>
    <x v="0"/>
  </r>
  <r>
    <x v="82"/>
    <x v="1"/>
    <x v="5"/>
    <x v="8"/>
    <n v="118"/>
    <n v="28389.66"/>
    <n v="118"/>
    <n v="28389.66"/>
    <n v="0"/>
    <n v="0"/>
    <x v="0"/>
  </r>
  <r>
    <x v="83"/>
    <x v="12"/>
    <x v="7"/>
    <x v="1"/>
    <n v="427"/>
    <n v="85040.67"/>
    <n v="427"/>
    <n v="85040.67"/>
    <n v="0"/>
    <n v="0"/>
    <x v="0"/>
  </r>
  <r>
    <x v="84"/>
    <x v="2"/>
    <x v="3"/>
    <x v="0"/>
    <n v="165"/>
    <n v="46300.67"/>
    <n v="165"/>
    <n v="46300.67"/>
    <n v="0"/>
    <n v="0"/>
    <x v="0"/>
  </r>
  <r>
    <x v="85"/>
    <x v="11"/>
    <x v="9"/>
    <x v="5"/>
    <n v="195"/>
    <n v="24693.22"/>
    <n v="195"/>
    <n v="24693.22"/>
    <n v="0"/>
    <n v="0"/>
    <x v="0"/>
  </r>
  <r>
    <x v="86"/>
    <x v="26"/>
    <x v="9"/>
    <x v="6"/>
    <n v="154"/>
    <n v="59290.49"/>
    <n v="154"/>
    <n v="59290.49"/>
    <n v="0"/>
    <n v="0"/>
    <x v="0"/>
  </r>
  <r>
    <x v="87"/>
    <x v="22"/>
    <x v="7"/>
    <x v="3"/>
    <n v="300"/>
    <n v="113453.18"/>
    <n v="300"/>
    <n v="113453.18"/>
    <n v="0"/>
    <n v="0"/>
    <x v="0"/>
  </r>
  <r>
    <x v="88"/>
    <x v="16"/>
    <x v="5"/>
    <x v="4"/>
    <n v="140"/>
    <n v="18036.990000000002"/>
    <n v="140"/>
    <n v="18036.990000000002"/>
    <n v="0"/>
    <n v="0"/>
    <x v="0"/>
  </r>
  <r>
    <x v="89"/>
    <x v="12"/>
    <x v="9"/>
    <x v="6"/>
    <n v="342"/>
    <n v="143713.85"/>
    <n v="342"/>
    <n v="143713.85"/>
    <n v="0"/>
    <n v="0"/>
    <x v="0"/>
  </r>
  <r>
    <x v="90"/>
    <x v="3"/>
    <x v="8"/>
    <x v="5"/>
    <n v="368"/>
    <n v="122032.52"/>
    <n v="368"/>
    <n v="122032.52"/>
    <n v="0"/>
    <n v="0"/>
    <x v="0"/>
  </r>
  <r>
    <x v="91"/>
    <x v="10"/>
    <x v="9"/>
    <x v="1"/>
    <n v="445"/>
    <n v="53599.16"/>
    <n v="445"/>
    <n v="53599.16"/>
    <n v="0"/>
    <n v="0"/>
    <x v="0"/>
  </r>
  <r>
    <x v="92"/>
    <x v="22"/>
    <x v="9"/>
    <x v="0"/>
    <n v="423"/>
    <n v="76880.800000000003"/>
    <n v="423"/>
    <n v="76880.800000000003"/>
    <n v="0"/>
    <n v="0"/>
    <x v="0"/>
  </r>
  <r>
    <x v="93"/>
    <x v="27"/>
    <x v="4"/>
    <x v="2"/>
    <n v="102"/>
    <n v="20737.53"/>
    <n v="102"/>
    <n v="20737.53"/>
    <n v="0"/>
    <n v="0"/>
    <x v="0"/>
  </r>
  <r>
    <x v="46"/>
    <x v="3"/>
    <x v="3"/>
    <x v="8"/>
    <n v="319"/>
    <n v="54674.79"/>
    <n v="319"/>
    <n v="54674.79"/>
    <n v="0"/>
    <n v="0"/>
    <x v="0"/>
  </r>
  <r>
    <x v="94"/>
    <x v="5"/>
    <x v="7"/>
    <x v="2"/>
    <n v="232"/>
    <n v="55287.62"/>
    <n v="232"/>
    <n v="55287.62"/>
    <n v="0"/>
    <n v="0"/>
    <x v="0"/>
  </r>
  <r>
    <x v="95"/>
    <x v="20"/>
    <x v="1"/>
    <x v="2"/>
    <n v="479"/>
    <n v="60015.91"/>
    <n v="479"/>
    <n v="60015.91"/>
    <n v="0"/>
    <n v="0"/>
    <x v="0"/>
  </r>
  <r>
    <x v="96"/>
    <x v="24"/>
    <x v="2"/>
    <x v="3"/>
    <n v="335"/>
    <n v="58847.58"/>
    <n v="335"/>
    <n v="58847.58"/>
    <n v="0"/>
    <n v="0"/>
    <x v="0"/>
  </r>
  <r>
    <x v="97"/>
    <x v="22"/>
    <x v="8"/>
    <x v="3"/>
    <n v="140"/>
    <n v="62657.78"/>
    <n v="140"/>
    <n v="62657.78"/>
    <n v="0"/>
    <n v="0"/>
    <x v="0"/>
  </r>
  <r>
    <x v="98"/>
    <x v="7"/>
    <x v="1"/>
    <x v="5"/>
    <n v="323"/>
    <n v="110989.27"/>
    <n v="323"/>
    <n v="111407.705669214"/>
    <n v="0"/>
    <n v="-418.4356692139990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H31:I42" firstHeaderRow="1" firstDataRow="1" firstDataCol="1" rowPageCount="1" colPageCount="1"/>
  <pivotFields count="11">
    <pivotField axis="axisRow" showAll="0">
      <items count="100">
        <item x="90"/>
        <item x="51"/>
        <item x="53"/>
        <item x="76"/>
        <item x="18"/>
        <item x="62"/>
        <item x="97"/>
        <item x="19"/>
        <item x="54"/>
        <item x="55"/>
        <item x="56"/>
        <item x="16"/>
        <item x="43"/>
        <item x="32"/>
        <item x="30"/>
        <item x="59"/>
        <item x="93"/>
        <item x="36"/>
        <item x="4"/>
        <item x="52"/>
        <item x="40"/>
        <item x="73"/>
        <item x="21"/>
        <item x="50"/>
        <item x="0"/>
        <item x="10"/>
        <item x="64"/>
        <item x="17"/>
        <item x="67"/>
        <item x="9"/>
        <item x="85"/>
        <item x="20"/>
        <item x="63"/>
        <item x="58"/>
        <item x="49"/>
        <item x="75"/>
        <item x="91"/>
        <item x="89"/>
        <item x="86"/>
        <item x="92"/>
        <item x="66"/>
        <item x="77"/>
        <item x="81"/>
        <item x="47"/>
        <item x="3"/>
        <item x="33"/>
        <item x="46"/>
        <item x="26"/>
        <item x="71"/>
        <item x="27"/>
        <item x="8"/>
        <item x="84"/>
        <item x="38"/>
        <item x="37"/>
        <item x="80"/>
        <item x="31"/>
        <item x="48"/>
        <item x="87"/>
        <item x="35"/>
        <item x="72"/>
        <item x="83"/>
        <item x="94"/>
        <item x="14"/>
        <item x="78"/>
        <item x="74"/>
        <item x="6"/>
        <item x="61"/>
        <item x="69"/>
        <item x="25"/>
        <item x="44"/>
        <item x="24"/>
        <item x="65"/>
        <item x="7"/>
        <item x="57"/>
        <item x="96"/>
        <item x="2"/>
        <item x="34"/>
        <item x="12"/>
        <item x="98"/>
        <item x="79"/>
        <item x="68"/>
        <item x="15"/>
        <item x="1"/>
        <item x="95"/>
        <item x="60"/>
        <item x="28"/>
        <item x="42"/>
        <item x="22"/>
        <item x="23"/>
        <item x="88"/>
        <item x="5"/>
        <item x="13"/>
        <item x="82"/>
        <item x="11"/>
        <item x="41"/>
        <item x="29"/>
        <item x="39"/>
        <item x="45"/>
        <item x="70"/>
        <item t="default"/>
      </items>
    </pivotField>
    <pivotField numFmtId="14" showAll="0" defaultSubtotal="0">
      <items count="28">
        <item x="13"/>
        <item x="19"/>
        <item x="1"/>
        <item x="3"/>
        <item x="27"/>
        <item x="2"/>
        <item x="11"/>
        <item x="25"/>
        <item x="14"/>
        <item x="21"/>
        <item x="20"/>
        <item x="0"/>
        <item x="4"/>
        <item x="23"/>
        <item x="5"/>
        <item x="24"/>
        <item x="16"/>
        <item x="15"/>
        <item x="22"/>
        <item x="12"/>
        <item x="10"/>
        <item x="17"/>
        <item x="6"/>
        <item x="9"/>
        <item x="7"/>
        <item x="8"/>
        <item x="18"/>
        <item x="26"/>
      </items>
    </pivotField>
    <pivotField showAll="0" defaultSubtotal="0">
      <items count="10">
        <item x="8"/>
        <item x="4"/>
        <item x="0"/>
        <item x="9"/>
        <item x="3"/>
        <item x="7"/>
        <item x="6"/>
        <item x="2"/>
        <item x="1"/>
        <item x="5"/>
      </items>
    </pivotField>
    <pivotField showAll="0" defaultSubtotal="0">
      <items count="10">
        <item x="5"/>
        <item x="4"/>
        <item x="3"/>
        <item x="8"/>
        <item x="1"/>
        <item x="2"/>
        <item x="6"/>
        <item x="9"/>
        <item x="0"/>
        <item x="7"/>
      </items>
    </pivotField>
    <pivotField numFmtId="2" showAll="0"/>
    <pivotField numFmtId="2" showAll="0"/>
    <pivotField numFmtId="2" showAll="0"/>
    <pivotField numFmtId="2" showAll="0"/>
    <pivotField numFmtId="1" showAll="0"/>
    <pivotField numFmtId="2" showAll="0"/>
    <pivotField axis="axisPage" dataField="1" showAll="0">
      <items count="3">
        <item x="0"/>
        <item x="1"/>
        <item t="default"/>
      </items>
    </pivotField>
  </pivotFields>
  <rowFields count="1">
    <field x="0"/>
  </rowFields>
  <rowItems count="11">
    <i>
      <x v="5"/>
    </i>
    <i>
      <x v="12"/>
    </i>
    <i>
      <x v="19"/>
    </i>
    <i>
      <x v="25"/>
    </i>
    <i>
      <x v="26"/>
    </i>
    <i>
      <x v="73"/>
    </i>
    <i>
      <x v="77"/>
    </i>
    <i>
      <x v="78"/>
    </i>
    <i>
      <x v="79"/>
    </i>
    <i>
      <x v="98"/>
    </i>
    <i t="grand">
      <x/>
    </i>
  </rowItems>
  <colItems count="1">
    <i/>
  </colItems>
  <pageFields count="1">
    <pageField fld="10" item="1" hier="-1"/>
  </pageFields>
  <dataFields count="1">
    <dataField name="Count of Match_Status" fld="1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4" name="PivotTable1"/>
  </pivotTables>
  <data>
    <tabular pivotCacheId="1">
      <items count="28">
        <i x="2" s="1"/>
        <i x="21" s="1"/>
        <i x="23" s="1"/>
        <i x="5" s="1"/>
        <i x="15" s="1"/>
        <i x="9" s="1"/>
        <i x="7" s="1"/>
        <i x="18" s="1"/>
        <i x="13" s="1" nd="1"/>
        <i x="19" s="1" nd="1"/>
        <i x="1" s="1" nd="1"/>
        <i x="3" s="1" nd="1"/>
        <i x="27" s="1" nd="1"/>
        <i x="11" s="1" nd="1"/>
        <i x="25" s="1" nd="1"/>
        <i x="14" s="1" nd="1"/>
        <i x="20" s="1" nd="1"/>
        <i x="0" s="1" nd="1"/>
        <i x="4" s="1" nd="1"/>
        <i x="24" s="1" nd="1"/>
        <i x="16" s="1" nd="1"/>
        <i x="22" s="1" nd="1"/>
        <i x="12" s="1" nd="1"/>
        <i x="10" s="1" nd="1"/>
        <i x="17" s="1" nd="1"/>
        <i x="6" s="1" nd="1"/>
        <i x="8" s="1" nd="1"/>
        <i x="2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ccount" sourceName="Account">
  <pivotTables>
    <pivotTable tabId="4" name="PivotTable1"/>
  </pivotTables>
  <data>
    <tabular pivotCacheId="1">
      <items count="10">
        <i x="8" s="1"/>
        <i x="4" s="1"/>
        <i x="0" s="1"/>
        <i x="2" s="1"/>
        <i x="1" s="1"/>
        <i x="5" s="1"/>
        <i x="9" s="1" nd="1"/>
        <i x="3" s="1" nd="1"/>
        <i x="7"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curity" sourceName="Security">
  <pivotTables>
    <pivotTable tabId="4" name="PivotTable1"/>
  </pivotTables>
  <data>
    <tabular pivotCacheId="1">
      <items count="10">
        <i x="5" s="1"/>
        <i x="3" s="1"/>
        <i x="2" s="1"/>
        <i x="9" s="1"/>
        <i x="0" s="1"/>
        <i x="4" s="1" nd="1"/>
        <i x="8" s="1" nd="1"/>
        <i x="1" s="1" nd="1"/>
        <i x="6"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startItem="3" rowHeight="241300"/>
  <slicer name="Account" cache="Slicer_Account" caption="Account" rowHeight="241300"/>
  <slicer name="Security" cache="Slicer_Security" caption="Security" startItem="8" rowHeight="241300"/>
</slicers>
</file>

<file path=xl/tables/table1.xml><?xml version="1.0" encoding="utf-8"?>
<table xmlns="http://schemas.openxmlformats.org/spreadsheetml/2006/main" id="3" name="tbl_Internal" displayName="tbl_Internal" ref="A1:G101" totalsRowShown="0">
  <autoFilter ref="A1:G101"/>
  <tableColumns count="7">
    <tableColumn id="7" name="UniqueKey" dataDxfId="9">
      <calculatedColumnFormula>tbl_Internal[[#This Row],[Account]] &amp; "-" &amp; tbl_Internal[[#This Row],[Security]] &amp; "-" &amp; TEXT(tbl_Internal[[#This Row],[Date]],"yyyymmdd")</calculatedColumnFormula>
    </tableColumn>
    <tableColumn id="1" name="Date" dataDxfId="8"/>
    <tableColumn id="2" name="Account"/>
    <tableColumn id="3" name="Security"/>
    <tableColumn id="4" name="Quantity" dataDxfId="7"/>
    <tableColumn id="5" name="Value" dataDxfId="6"/>
    <tableColumn id="6" name="TradeID"/>
  </tableColumns>
  <tableStyleInfo name="TableStyleMedium2" showFirstColumn="0" showLastColumn="0" showRowStripes="1" showColumnStripes="0"/>
</table>
</file>

<file path=xl/tables/table2.xml><?xml version="1.0" encoding="utf-8"?>
<table xmlns="http://schemas.openxmlformats.org/spreadsheetml/2006/main" id="4" name="tbl_Custodian" displayName="tbl_Custodian" ref="A1:G101" totalsRowShown="0">
  <autoFilter ref="A1:G101"/>
  <tableColumns count="7">
    <tableColumn id="7" name="UniqueKey" dataDxfId="5">
      <calculatedColumnFormula>tbl_Custodian[[#This Row],[Account]] &amp; "-" &amp; tbl_Custodian[[#This Row],[Security]] &amp; "-" &amp; TEXT(tbl_Custodian[[#This Row],[Date]],"yyyymmdd")</calculatedColumnFormula>
    </tableColumn>
    <tableColumn id="1" name="Date" dataDxfId="4"/>
    <tableColumn id="2" name="Account"/>
    <tableColumn id="3" name="Security"/>
    <tableColumn id="4" name="Quantity" dataDxfId="3"/>
    <tableColumn id="5" name="Value" dataDxfId="2"/>
    <tableColumn id="6" name="Trade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activeCell="C12" sqref="C12"/>
    </sheetView>
  </sheetViews>
  <sheetFormatPr defaultRowHeight="15" x14ac:dyDescent="0.25"/>
  <cols>
    <col min="1" max="1" width="23.42578125" customWidth="1"/>
    <col min="2" max="2" width="15.85546875" style="1" customWidth="1"/>
    <col min="3" max="3" width="16.42578125" customWidth="1"/>
    <col min="4" max="4" width="16.140625" customWidth="1"/>
    <col min="5" max="5" width="15.42578125" style="2" customWidth="1"/>
    <col min="6" max="6" width="16.28515625" style="2" customWidth="1"/>
    <col min="7" max="7" width="18.7109375" customWidth="1"/>
  </cols>
  <sheetData>
    <row r="1" spans="1:7" x14ac:dyDescent="0.25">
      <c r="A1" t="s">
        <v>126</v>
      </c>
      <c r="B1" s="1" t="s">
        <v>0</v>
      </c>
      <c r="C1" t="s">
        <v>1</v>
      </c>
      <c r="D1" t="s">
        <v>2</v>
      </c>
      <c r="E1" s="2" t="s">
        <v>3</v>
      </c>
      <c r="F1" s="2" t="s">
        <v>4</v>
      </c>
      <c r="G1" t="s">
        <v>5</v>
      </c>
    </row>
    <row r="2" spans="1:7" x14ac:dyDescent="0.25">
      <c r="A2" t="str">
        <f>tbl_Internal[[#This Row],[Account]] &amp; "-" &amp; tbl_Internal[[#This Row],[Security]] &amp; "-" &amp; TEXT(tbl_Internal[[#This Row],[Date]],"yyyymmdd")</f>
        <v>A003-NVDA-20251015</v>
      </c>
      <c r="B2" s="1">
        <v>45945</v>
      </c>
      <c r="C2" t="s">
        <v>6</v>
      </c>
      <c r="D2" t="s">
        <v>7</v>
      </c>
      <c r="E2" s="2">
        <v>272</v>
      </c>
      <c r="F2" s="2">
        <v>78768.44</v>
      </c>
      <c r="G2" t="s">
        <v>8</v>
      </c>
    </row>
    <row r="3" spans="1:7" x14ac:dyDescent="0.25">
      <c r="A3" t="str">
        <f>tbl_Internal[[#This Row],[Account]] &amp; "-" &amp; tbl_Internal[[#This Row],[Security]] &amp; "-" &amp; TEXT(tbl_Internal[[#This Row],[Date]],"yyyymmdd")</f>
        <v>A009-JPM-20251004</v>
      </c>
      <c r="B3" s="1">
        <v>45934</v>
      </c>
      <c r="C3" t="s">
        <v>9</v>
      </c>
      <c r="D3" t="s">
        <v>10</v>
      </c>
      <c r="E3" s="2">
        <v>392</v>
      </c>
      <c r="F3" s="2">
        <v>53657.1</v>
      </c>
      <c r="G3" t="s">
        <v>11</v>
      </c>
    </row>
    <row r="4" spans="1:7" x14ac:dyDescent="0.25">
      <c r="A4" t="str">
        <f>tbl_Internal[[#This Row],[Account]] &amp; "-" &amp; tbl_Internal[[#This Row],[Security]] &amp; "-" &amp; TEXT(tbl_Internal[[#This Row],[Date]],"yyyymmdd")</f>
        <v>A008-META-20251008</v>
      </c>
      <c r="B4" s="1">
        <v>45938</v>
      </c>
      <c r="C4" t="s">
        <v>12</v>
      </c>
      <c r="D4" t="s">
        <v>13</v>
      </c>
      <c r="E4" s="2">
        <v>90</v>
      </c>
      <c r="F4" s="2">
        <v>24216.15</v>
      </c>
      <c r="G4" t="s">
        <v>14</v>
      </c>
    </row>
    <row r="5" spans="1:7" x14ac:dyDescent="0.25">
      <c r="A5" t="str">
        <f>tbl_Internal[[#This Row],[Account]] &amp; "-" &amp; tbl_Internal[[#This Row],[Security]] &amp; "-" &amp; TEXT(tbl_Internal[[#This Row],[Date]],"yyyymmdd")</f>
        <v>A005-BABA-20251005</v>
      </c>
      <c r="B5" s="1">
        <v>45935</v>
      </c>
      <c r="C5" t="s">
        <v>15</v>
      </c>
      <c r="D5" t="s">
        <v>16</v>
      </c>
      <c r="E5" s="2">
        <v>84</v>
      </c>
      <c r="F5" s="2">
        <v>11371.4</v>
      </c>
      <c r="G5" t="s">
        <v>17</v>
      </c>
    </row>
    <row r="6" spans="1:7" x14ac:dyDescent="0.25">
      <c r="A6" t="str">
        <f>tbl_Internal[[#This Row],[Account]] &amp; "-" &amp; tbl_Internal[[#This Row],[Security]] &amp; "-" &amp; TEXT(tbl_Internal[[#This Row],[Date]],"yyyymmdd")</f>
        <v>A002-META-20251016</v>
      </c>
      <c r="B6" s="1">
        <v>45946</v>
      </c>
      <c r="C6" t="s">
        <v>18</v>
      </c>
      <c r="D6" t="s">
        <v>13</v>
      </c>
      <c r="E6" s="2">
        <v>83</v>
      </c>
      <c r="F6" s="2">
        <v>38215.379999999997</v>
      </c>
      <c r="G6" t="s">
        <v>19</v>
      </c>
    </row>
    <row r="7" spans="1:7" x14ac:dyDescent="0.25">
      <c r="A7" t="str">
        <f>tbl_Internal[[#This Row],[Account]] &amp; "-" &amp; tbl_Internal[[#This Row],[Security]] &amp; "-" &amp; TEXT(tbl_Internal[[#This Row],[Date]],"yyyymmdd")</f>
        <v>A010-BABA-20251018</v>
      </c>
      <c r="B7" s="1">
        <v>45948</v>
      </c>
      <c r="C7" t="s">
        <v>20</v>
      </c>
      <c r="D7" t="s">
        <v>16</v>
      </c>
      <c r="E7" s="2">
        <v>73</v>
      </c>
      <c r="F7" s="2">
        <v>12030.2</v>
      </c>
      <c r="G7" t="s">
        <v>21</v>
      </c>
    </row>
    <row r="8" spans="1:7" x14ac:dyDescent="0.25">
      <c r="A8" t="str">
        <f>tbl_Internal[[#This Row],[Account]] &amp; "-" &amp; tbl_Internal[[#This Row],[Security]] &amp; "-" &amp; TEXT(tbl_Internal[[#This Row],[Date]],"yyyymmdd")</f>
        <v>A007-AMZN-20251026</v>
      </c>
      <c r="B8" s="1">
        <v>45956</v>
      </c>
      <c r="C8" t="s">
        <v>22</v>
      </c>
      <c r="D8" t="s">
        <v>23</v>
      </c>
      <c r="E8" s="2">
        <v>328</v>
      </c>
      <c r="F8" s="2">
        <v>88945.42</v>
      </c>
      <c r="G8" t="s">
        <v>24</v>
      </c>
    </row>
    <row r="9" spans="1:7" x14ac:dyDescent="0.25">
      <c r="A9" t="str">
        <f>tbl_Internal[[#This Row],[Account]] &amp; "-" &amp; tbl_Internal[[#This Row],[Security]] &amp; "-" &amp; TEXT(tbl_Internal[[#This Row],[Date]],"yyyymmdd")</f>
        <v>A008-AAPL-20251028</v>
      </c>
      <c r="B9" s="1">
        <v>45958</v>
      </c>
      <c r="C9" t="s">
        <v>12</v>
      </c>
      <c r="D9" t="s">
        <v>25</v>
      </c>
      <c r="E9" s="2">
        <v>265</v>
      </c>
      <c r="F9" s="2">
        <v>128766.49</v>
      </c>
      <c r="G9" t="s">
        <v>26</v>
      </c>
    </row>
    <row r="10" spans="1:7" x14ac:dyDescent="0.25">
      <c r="A10" t="str">
        <f>tbl_Internal[[#This Row],[Account]] &amp; "-" &amp; tbl_Internal[[#This Row],[Security]] &amp; "-" &amp; TEXT(tbl_Internal[[#This Row],[Date]],"yyyymmdd")</f>
        <v>A005-MSFT-20251028</v>
      </c>
      <c r="B10" s="1">
        <v>45958</v>
      </c>
      <c r="C10" t="s">
        <v>15</v>
      </c>
      <c r="D10" t="s">
        <v>27</v>
      </c>
      <c r="E10" s="2">
        <v>245</v>
      </c>
      <c r="F10" s="2">
        <v>68380.25</v>
      </c>
      <c r="G10" t="s">
        <v>28</v>
      </c>
    </row>
    <row r="11" spans="1:7" x14ac:dyDescent="0.25">
      <c r="A11" t="str">
        <f>tbl_Internal[[#This Row],[Account]] &amp; "-" &amp; tbl_Internal[[#This Row],[Security]] &amp; "-" &amp; TEXT(tbl_Internal[[#This Row],[Date]],"yyyymmdd")</f>
        <v>A003-TSLA-20251029</v>
      </c>
      <c r="B11" s="1">
        <v>45959</v>
      </c>
      <c r="C11" t="s">
        <v>6</v>
      </c>
      <c r="D11" t="s">
        <v>29</v>
      </c>
      <c r="E11" s="2">
        <v>329</v>
      </c>
      <c r="F11" s="2">
        <v>132259.07</v>
      </c>
      <c r="G11" t="s">
        <v>30</v>
      </c>
    </row>
    <row r="12" spans="1:7" x14ac:dyDescent="0.25">
      <c r="A12" t="str">
        <f>tbl_Internal[[#This Row],[Account]] &amp; "-" &amp; tbl_Internal[[#This Row],[Security]] &amp; "-" &amp; TEXT(tbl_Internal[[#This Row],[Date]],"yyyymmdd")</f>
        <v>A003-NVDA-20251018</v>
      </c>
      <c r="B12" s="1">
        <v>45948</v>
      </c>
      <c r="C12" t="s">
        <v>6</v>
      </c>
      <c r="D12" t="s">
        <v>7</v>
      </c>
      <c r="E12" s="2">
        <v>249</v>
      </c>
      <c r="F12" s="2">
        <v>54431.19</v>
      </c>
      <c r="G12" t="s">
        <v>31</v>
      </c>
    </row>
    <row r="13" spans="1:7" x14ac:dyDescent="0.25">
      <c r="A13" t="str">
        <f>tbl_Internal[[#This Row],[Account]] &amp; "-" &amp; tbl_Internal[[#This Row],[Security]] &amp; "-" &amp; TEXT(tbl_Internal[[#This Row],[Date]],"yyyymmdd")</f>
        <v>A010-GOOGL-20251016</v>
      </c>
      <c r="B13" s="1">
        <v>45946</v>
      </c>
      <c r="C13" t="s">
        <v>20</v>
      </c>
      <c r="D13" t="s">
        <v>32</v>
      </c>
      <c r="E13" s="2">
        <v>383</v>
      </c>
      <c r="F13" s="2">
        <v>91763.28</v>
      </c>
      <c r="G13" t="s">
        <v>33</v>
      </c>
    </row>
    <row r="14" spans="1:7" x14ac:dyDescent="0.25">
      <c r="A14" t="str">
        <f>tbl_Internal[[#This Row],[Account]] &amp; "-" &amp; tbl_Internal[[#This Row],[Security]] &amp; "-" &amp; TEXT(tbl_Internal[[#This Row],[Date]],"yyyymmdd")</f>
        <v>A008-NFLX-20251027</v>
      </c>
      <c r="B14" s="1">
        <v>45957</v>
      </c>
      <c r="C14" t="s">
        <v>12</v>
      </c>
      <c r="D14" t="s">
        <v>34</v>
      </c>
      <c r="E14" s="2">
        <v>126</v>
      </c>
      <c r="F14" s="2">
        <v>50752.99</v>
      </c>
      <c r="G14" t="s">
        <v>35</v>
      </c>
    </row>
    <row r="15" spans="1:7" x14ac:dyDescent="0.25">
      <c r="A15" t="str">
        <f>tbl_Internal[[#This Row],[Account]] &amp; "-" &amp; tbl_Internal[[#This Row],[Security]] &amp; "-" &amp; TEXT(tbl_Internal[[#This Row],[Date]],"yyyymmdd")</f>
        <v>A010-BABA-20251024</v>
      </c>
      <c r="B15" s="1">
        <v>45954</v>
      </c>
      <c r="C15" t="s">
        <v>20</v>
      </c>
      <c r="D15" t="s">
        <v>16</v>
      </c>
      <c r="E15" s="2">
        <v>86</v>
      </c>
      <c r="F15" s="2">
        <v>36901.58</v>
      </c>
      <c r="G15" t="s">
        <v>36</v>
      </c>
    </row>
    <row r="16" spans="1:7" x14ac:dyDescent="0.25">
      <c r="A16" t="str">
        <f>tbl_Internal[[#This Row],[Account]] &amp; "-" &amp; tbl_Internal[[#This Row],[Security]] &amp; "-" &amp; TEXT(tbl_Internal[[#This Row],[Date]],"yyyymmdd")</f>
        <v>A006-META-20251027</v>
      </c>
      <c r="B16" s="1">
        <v>45957</v>
      </c>
      <c r="C16" t="s">
        <v>37</v>
      </c>
      <c r="D16" t="s">
        <v>13</v>
      </c>
      <c r="E16" s="2">
        <v>90</v>
      </c>
      <c r="F16" s="2">
        <v>29155.93</v>
      </c>
      <c r="G16" t="s">
        <v>38</v>
      </c>
    </row>
    <row r="17" spans="1:7" x14ac:dyDescent="0.25">
      <c r="A17" t="str">
        <f>tbl_Internal[[#This Row],[Account]] &amp; "-" &amp; tbl_Internal[[#This Row],[Security]] &amp; "-" &amp; TEXT(tbl_Internal[[#This Row],[Date]],"yyyymmdd")</f>
        <v>A009-GOOGL-20251009</v>
      </c>
      <c r="B17" s="1">
        <v>45939</v>
      </c>
      <c r="C17" t="s">
        <v>9</v>
      </c>
      <c r="D17" t="s">
        <v>32</v>
      </c>
      <c r="E17" s="2">
        <v>326</v>
      </c>
      <c r="F17" s="2">
        <v>120209.51</v>
      </c>
      <c r="G17" t="s">
        <v>39</v>
      </c>
    </row>
    <row r="18" spans="1:7" x14ac:dyDescent="0.25">
      <c r="A18" t="str">
        <f>tbl_Internal[[#This Row],[Account]] &amp; "-" &amp; tbl_Internal[[#This Row],[Security]] &amp; "-" &amp; TEXT(tbl_Internal[[#This Row],[Date]],"yyyymmdd")</f>
        <v>A001-MSFT-20251024</v>
      </c>
      <c r="B18" s="1">
        <v>45954</v>
      </c>
      <c r="C18" t="s">
        <v>40</v>
      </c>
      <c r="D18" t="s">
        <v>27</v>
      </c>
      <c r="E18" s="2">
        <v>473</v>
      </c>
      <c r="F18" s="2">
        <v>105795.84</v>
      </c>
      <c r="G18" t="s">
        <v>41</v>
      </c>
    </row>
    <row r="19" spans="1:7" x14ac:dyDescent="0.25">
      <c r="A19" t="str">
        <f>tbl_Internal[[#This Row],[Account]] &amp; "-" &amp; tbl_Internal[[#This Row],[Security]] &amp; "-" &amp; TEXT(tbl_Internal[[#This Row],[Date]],"yyyymmdd")</f>
        <v>A003-NVDA-20251023</v>
      </c>
      <c r="B19" s="1">
        <v>45953</v>
      </c>
      <c r="C19" t="s">
        <v>6</v>
      </c>
      <c r="D19" t="s">
        <v>7</v>
      </c>
      <c r="E19" s="2">
        <v>288</v>
      </c>
      <c r="F19" s="2">
        <v>105904.83</v>
      </c>
      <c r="G19" t="s">
        <v>42</v>
      </c>
    </row>
    <row r="20" spans="1:7" x14ac:dyDescent="0.25">
      <c r="A20" t="str">
        <f>tbl_Internal[[#This Row],[Account]] &amp; "-" &amp; tbl_Internal[[#This Row],[Security]] &amp; "-" &amp; TEXT(tbl_Internal[[#This Row],[Date]],"yyyymmdd")</f>
        <v>A001-BABA-20251005</v>
      </c>
      <c r="B20" s="1">
        <v>45935</v>
      </c>
      <c r="C20" t="s">
        <v>40</v>
      </c>
      <c r="D20" t="s">
        <v>16</v>
      </c>
      <c r="E20" s="2">
        <v>170</v>
      </c>
      <c r="F20" s="2">
        <v>34416.47</v>
      </c>
      <c r="G20" t="s">
        <v>43</v>
      </c>
    </row>
    <row r="21" spans="1:7" x14ac:dyDescent="0.25">
      <c r="A21" t="str">
        <f>tbl_Internal[[#This Row],[Account]] &amp; "-" &amp; tbl_Internal[[#This Row],[Security]] &amp; "-" &amp; TEXT(tbl_Internal[[#This Row],[Date]],"yyyymmdd")</f>
        <v>A001-JPM-20251001</v>
      </c>
      <c r="B21" s="1">
        <v>45931</v>
      </c>
      <c r="C21" t="s">
        <v>40</v>
      </c>
      <c r="D21" t="s">
        <v>10</v>
      </c>
      <c r="E21" s="2">
        <v>423</v>
      </c>
      <c r="F21" s="2">
        <v>119959.15</v>
      </c>
      <c r="G21" t="s">
        <v>44</v>
      </c>
    </row>
    <row r="22" spans="1:7" x14ac:dyDescent="0.25">
      <c r="A22" t="str">
        <f>tbl_Internal[[#This Row],[Account]] &amp; "-" &amp; tbl_Internal[[#This Row],[Security]] &amp; "-" &amp; TEXT(tbl_Internal[[#This Row],[Date]],"yyyymmdd")</f>
        <v>A004-AMZN-20251001</v>
      </c>
      <c r="B22" s="1">
        <v>45931</v>
      </c>
      <c r="C22" t="s">
        <v>45</v>
      </c>
      <c r="D22" t="s">
        <v>23</v>
      </c>
      <c r="E22" s="2">
        <v>277</v>
      </c>
      <c r="F22" s="2">
        <v>68579.41</v>
      </c>
      <c r="G22" t="s">
        <v>46</v>
      </c>
    </row>
    <row r="23" spans="1:7" x14ac:dyDescent="0.25">
      <c r="A23" t="str">
        <f>tbl_Internal[[#This Row],[Account]] &amp; "-" &amp; tbl_Internal[[#This Row],[Security]] &amp; "-" &amp; TEXT(tbl_Internal[[#This Row],[Date]],"yyyymmdd")</f>
        <v>A003-META-20251011</v>
      </c>
      <c r="B23" s="1">
        <v>45941</v>
      </c>
      <c r="C23" t="s">
        <v>6</v>
      </c>
      <c r="D23" t="s">
        <v>13</v>
      </c>
      <c r="E23" s="2">
        <v>396</v>
      </c>
      <c r="F23" s="2">
        <v>85599.76</v>
      </c>
      <c r="G23" t="s">
        <v>47</v>
      </c>
    </row>
    <row r="24" spans="1:7" x14ac:dyDescent="0.25">
      <c r="A24" t="str">
        <f>tbl_Internal[[#This Row],[Account]] &amp; "-" &amp; tbl_Internal[[#This Row],[Security]] &amp; "-" &amp; TEXT(tbl_Internal[[#This Row],[Date]],"yyyymmdd")</f>
        <v>A009-TSLA-20251027</v>
      </c>
      <c r="B24" s="1">
        <v>45957</v>
      </c>
      <c r="C24" t="s">
        <v>9</v>
      </c>
      <c r="D24" t="s">
        <v>29</v>
      </c>
      <c r="E24" s="2">
        <v>281</v>
      </c>
      <c r="F24" s="2">
        <v>100183.03</v>
      </c>
      <c r="G24" t="s">
        <v>48</v>
      </c>
    </row>
    <row r="25" spans="1:7" x14ac:dyDescent="0.25">
      <c r="A25" t="str">
        <f>tbl_Internal[[#This Row],[Account]] &amp; "-" &amp; tbl_Internal[[#This Row],[Security]] &amp; "-" &amp; TEXT(tbl_Internal[[#This Row],[Date]],"yyyymmdd")</f>
        <v>A010-AAPL-20251029</v>
      </c>
      <c r="B25" s="1">
        <v>45959</v>
      </c>
      <c r="C25" t="s">
        <v>20</v>
      </c>
      <c r="D25" t="s">
        <v>25</v>
      </c>
      <c r="E25" s="2">
        <v>273</v>
      </c>
      <c r="F25" s="2">
        <v>68241.64</v>
      </c>
      <c r="G25" t="s">
        <v>49</v>
      </c>
    </row>
    <row r="26" spans="1:7" x14ac:dyDescent="0.25">
      <c r="A26" t="str">
        <f>tbl_Internal[[#This Row],[Account]] &amp; "-" &amp; tbl_Internal[[#This Row],[Security]] &amp; "-" &amp; TEXT(tbl_Internal[[#This Row],[Date]],"yyyymmdd")</f>
        <v>A007-TSLA-20251008</v>
      </c>
      <c r="B26" s="1">
        <v>45938</v>
      </c>
      <c r="C26" t="s">
        <v>22</v>
      </c>
      <c r="D26" t="s">
        <v>29</v>
      </c>
      <c r="E26" s="2">
        <v>242</v>
      </c>
      <c r="F26" s="2">
        <v>102176.26</v>
      </c>
      <c r="G26" t="s">
        <v>50</v>
      </c>
    </row>
    <row r="27" spans="1:7" x14ac:dyDescent="0.25">
      <c r="A27" t="str">
        <f>tbl_Internal[[#This Row],[Account]] &amp; "-" &amp; tbl_Internal[[#This Row],[Security]] &amp; "-" &amp; TEXT(tbl_Internal[[#This Row],[Date]],"yyyymmdd")</f>
        <v>A007-JPM-20251005</v>
      </c>
      <c r="B27" s="1">
        <v>45935</v>
      </c>
      <c r="C27" t="s">
        <v>22</v>
      </c>
      <c r="D27" t="s">
        <v>10</v>
      </c>
      <c r="E27" s="2">
        <v>235</v>
      </c>
      <c r="F27" s="2">
        <v>115607.85</v>
      </c>
      <c r="G27" t="s">
        <v>51</v>
      </c>
    </row>
    <row r="28" spans="1:7" x14ac:dyDescent="0.25">
      <c r="A28" t="str">
        <f>tbl_Internal[[#This Row],[Account]] &amp; "-" &amp; tbl_Internal[[#This Row],[Security]] &amp; "-" &amp; TEXT(tbl_Internal[[#This Row],[Date]],"yyyymmdd")</f>
        <v>A005-JPM-20251021</v>
      </c>
      <c r="B28" s="1">
        <v>45951</v>
      </c>
      <c r="C28" t="s">
        <v>15</v>
      </c>
      <c r="D28" t="s">
        <v>10</v>
      </c>
      <c r="E28" s="2">
        <v>308</v>
      </c>
      <c r="F28" s="2">
        <v>43044.33</v>
      </c>
      <c r="G28" t="s">
        <v>52</v>
      </c>
    </row>
    <row r="29" spans="1:7" x14ac:dyDescent="0.25">
      <c r="A29" t="str">
        <f>tbl_Internal[[#This Row],[Account]] &amp; "-" &amp; tbl_Internal[[#This Row],[Security]] &amp; "-" &amp; TEXT(tbl_Internal[[#This Row],[Date]],"yyyymmdd")</f>
        <v>A005-META-20251020</v>
      </c>
      <c r="B29" s="1">
        <v>45950</v>
      </c>
      <c r="C29" t="s">
        <v>15</v>
      </c>
      <c r="D29" t="s">
        <v>13</v>
      </c>
      <c r="E29" s="2">
        <v>181</v>
      </c>
      <c r="F29" s="2">
        <v>87911.52</v>
      </c>
      <c r="G29" t="s">
        <v>53</v>
      </c>
    </row>
    <row r="30" spans="1:7" x14ac:dyDescent="0.25">
      <c r="A30" t="str">
        <f>tbl_Internal[[#This Row],[Account]] &amp; "-" &amp; tbl_Internal[[#This Row],[Security]] &amp; "-" &amp; TEXT(tbl_Internal[[#This Row],[Date]],"yyyymmdd")</f>
        <v>A009-NFLX-20251011</v>
      </c>
      <c r="B30" s="1">
        <v>45941</v>
      </c>
      <c r="C30" t="s">
        <v>9</v>
      </c>
      <c r="D30" t="s">
        <v>34</v>
      </c>
      <c r="E30" s="2">
        <v>53</v>
      </c>
      <c r="F30" s="2">
        <v>23412.61</v>
      </c>
      <c r="G30" t="s">
        <v>54</v>
      </c>
    </row>
    <row r="31" spans="1:7" x14ac:dyDescent="0.25">
      <c r="A31" t="str">
        <f>tbl_Internal[[#This Row],[Account]] &amp; "-" &amp; tbl_Internal[[#This Row],[Security]] &amp; "-" &amp; TEXT(tbl_Internal[[#This Row],[Date]],"yyyymmdd")</f>
        <v>A010-MSFT-20251029</v>
      </c>
      <c r="B31" s="1">
        <v>45959</v>
      </c>
      <c r="C31" t="s">
        <v>20</v>
      </c>
      <c r="D31" t="s">
        <v>27</v>
      </c>
      <c r="E31" s="2">
        <v>377</v>
      </c>
      <c r="F31" s="2">
        <v>52014.21</v>
      </c>
      <c r="G31" t="s">
        <v>55</v>
      </c>
    </row>
    <row r="32" spans="1:7" x14ac:dyDescent="0.25">
      <c r="A32" t="str">
        <f>tbl_Internal[[#This Row],[Account]] &amp; "-" &amp; tbl_Internal[[#This Row],[Security]] &amp; "-" &amp; TEXT(tbl_Internal[[#This Row],[Date]],"yyyymmdd")</f>
        <v>A002-GOOGL-20251029</v>
      </c>
      <c r="B32" s="1">
        <v>45959</v>
      </c>
      <c r="C32" t="s">
        <v>18</v>
      </c>
      <c r="D32" t="s">
        <v>32</v>
      </c>
      <c r="E32" s="2">
        <v>129</v>
      </c>
      <c r="F32" s="2">
        <v>58130.86</v>
      </c>
      <c r="G32" t="s">
        <v>56</v>
      </c>
    </row>
    <row r="33" spans="1:7" x14ac:dyDescent="0.25">
      <c r="A33" t="str">
        <f>tbl_Internal[[#This Row],[Account]] &amp; "-" &amp; tbl_Internal[[#This Row],[Security]] &amp; "-" &amp; TEXT(tbl_Internal[[#This Row],[Date]],"yyyymmdd")</f>
        <v>A006-AMZN-20251008</v>
      </c>
      <c r="B33" s="1">
        <v>45938</v>
      </c>
      <c r="C33" t="s">
        <v>37</v>
      </c>
      <c r="D33" t="s">
        <v>23</v>
      </c>
      <c r="E33" s="2">
        <v>342</v>
      </c>
      <c r="F33" s="2">
        <v>99738.03</v>
      </c>
      <c r="G33" t="s">
        <v>57</v>
      </c>
    </row>
    <row r="34" spans="1:7" x14ac:dyDescent="0.25">
      <c r="A34" t="str">
        <f>tbl_Internal[[#This Row],[Account]] &amp; "-" &amp; tbl_Internal[[#This Row],[Security]] &amp; "-" &amp; TEXT(tbl_Internal[[#This Row],[Date]],"yyyymmdd")</f>
        <v>A002-BABA-20251025</v>
      </c>
      <c r="B34" s="1">
        <v>45955</v>
      </c>
      <c r="C34" t="s">
        <v>18</v>
      </c>
      <c r="D34" t="s">
        <v>16</v>
      </c>
      <c r="E34" s="2">
        <v>85</v>
      </c>
      <c r="F34" s="2">
        <v>8903.52</v>
      </c>
      <c r="G34" t="s">
        <v>58</v>
      </c>
    </row>
    <row r="35" spans="1:7" x14ac:dyDescent="0.25">
      <c r="A35" t="str">
        <f>tbl_Internal[[#This Row],[Account]] &amp; "-" &amp; tbl_Internal[[#This Row],[Security]] &amp; "-" &amp; TEXT(tbl_Internal[[#This Row],[Date]],"yyyymmdd")</f>
        <v>A005-BABA-20251026</v>
      </c>
      <c r="B35" s="1">
        <v>45956</v>
      </c>
      <c r="C35" t="s">
        <v>15</v>
      </c>
      <c r="D35" t="s">
        <v>16</v>
      </c>
      <c r="E35" s="2">
        <v>498</v>
      </c>
      <c r="F35" s="2">
        <v>66488.899999999994</v>
      </c>
      <c r="G35" t="s">
        <v>59</v>
      </c>
    </row>
    <row r="36" spans="1:7" x14ac:dyDescent="0.25">
      <c r="A36" t="str">
        <f>tbl_Internal[[#This Row],[Account]] &amp; "-" &amp; tbl_Internal[[#This Row],[Security]] &amp; "-" &amp; TEXT(tbl_Internal[[#This Row],[Date]],"yyyymmdd")</f>
        <v>A008-META-20251030</v>
      </c>
      <c r="B36" s="1">
        <v>45960</v>
      </c>
      <c r="C36" t="s">
        <v>12</v>
      </c>
      <c r="D36" t="s">
        <v>13</v>
      </c>
      <c r="E36" s="2">
        <v>463</v>
      </c>
      <c r="F36" s="2">
        <v>147338.91</v>
      </c>
      <c r="G36" t="s">
        <v>60</v>
      </c>
    </row>
    <row r="37" spans="1:7" x14ac:dyDescent="0.25">
      <c r="A37" t="str">
        <f>tbl_Internal[[#This Row],[Account]] &amp; "-" &amp; tbl_Internal[[#This Row],[Security]] &amp; "-" &amp; TEXT(tbl_Internal[[#This Row],[Date]],"yyyymmdd")</f>
        <v>A006-GOOGL-20251002</v>
      </c>
      <c r="B37" s="1">
        <v>45932</v>
      </c>
      <c r="C37" t="s">
        <v>37</v>
      </c>
      <c r="D37" t="s">
        <v>32</v>
      </c>
      <c r="E37" s="2">
        <v>266</v>
      </c>
      <c r="F37" s="2">
        <v>40024.97</v>
      </c>
      <c r="G37" t="s">
        <v>61</v>
      </c>
    </row>
    <row r="38" spans="1:7" x14ac:dyDescent="0.25">
      <c r="A38" t="str">
        <f>tbl_Internal[[#This Row],[Account]] &amp; "-" &amp; tbl_Internal[[#This Row],[Security]] &amp; "-" &amp; TEXT(tbl_Internal[[#This Row],[Date]],"yyyymmdd")</f>
        <v>A002-META-20251015</v>
      </c>
      <c r="B38" s="1">
        <v>45945</v>
      </c>
      <c r="C38" t="s">
        <v>18</v>
      </c>
      <c r="D38" t="s">
        <v>13</v>
      </c>
      <c r="E38" s="2">
        <v>96</v>
      </c>
      <c r="F38" s="2">
        <v>9058.73</v>
      </c>
      <c r="G38" t="s">
        <v>62</v>
      </c>
    </row>
    <row r="39" spans="1:7" x14ac:dyDescent="0.25">
      <c r="A39" t="str">
        <f>tbl_Internal[[#This Row],[Account]] &amp; "-" &amp; tbl_Internal[[#This Row],[Security]] &amp; "-" &amp; TEXT(tbl_Internal[[#This Row],[Date]],"yyyymmdd")</f>
        <v>A005-NVDA-20251015</v>
      </c>
      <c r="B39" s="1">
        <v>45945</v>
      </c>
      <c r="C39" t="s">
        <v>15</v>
      </c>
      <c r="D39" t="s">
        <v>7</v>
      </c>
      <c r="E39" s="2">
        <v>319</v>
      </c>
      <c r="F39" s="2">
        <v>125642.88</v>
      </c>
      <c r="G39" t="s">
        <v>63</v>
      </c>
    </row>
    <row r="40" spans="1:7" x14ac:dyDescent="0.25">
      <c r="A40" t="str">
        <f>tbl_Internal[[#This Row],[Account]] &amp; "-" &amp; tbl_Internal[[#This Row],[Security]] &amp; "-" &amp; TEXT(tbl_Internal[[#This Row],[Date]],"yyyymmdd")</f>
        <v>A005-NVDA-20251014</v>
      </c>
      <c r="B40" s="1">
        <v>45944</v>
      </c>
      <c r="C40" t="s">
        <v>15</v>
      </c>
      <c r="D40" t="s">
        <v>7</v>
      </c>
      <c r="E40" s="2">
        <v>153</v>
      </c>
      <c r="F40" s="2">
        <v>61211.14</v>
      </c>
      <c r="G40" t="s">
        <v>64</v>
      </c>
    </row>
    <row r="41" spans="1:7" x14ac:dyDescent="0.25">
      <c r="A41" t="str">
        <f>tbl_Internal[[#This Row],[Account]] &amp; "-" &amp; tbl_Internal[[#This Row],[Security]] &amp; "-" &amp; TEXT(tbl_Internal[[#This Row],[Date]],"yyyymmdd")</f>
        <v>A010-NFLX-20251005</v>
      </c>
      <c r="B41" s="1">
        <v>45935</v>
      </c>
      <c r="C41" t="s">
        <v>20</v>
      </c>
      <c r="D41" t="s">
        <v>34</v>
      </c>
      <c r="E41" s="2">
        <v>488</v>
      </c>
      <c r="F41" s="2">
        <v>207633.81</v>
      </c>
      <c r="G41" t="s">
        <v>65</v>
      </c>
    </row>
    <row r="42" spans="1:7" x14ac:dyDescent="0.25">
      <c r="A42" t="str">
        <f>tbl_Internal[[#This Row],[Account]] &amp; "-" &amp; tbl_Internal[[#This Row],[Security]] &amp; "-" &amp; TEXT(tbl_Internal[[#This Row],[Date]],"yyyymmdd")</f>
        <v>A003-AMZN-20251030</v>
      </c>
      <c r="B42" s="1">
        <v>45960</v>
      </c>
      <c r="C42" t="s">
        <v>6</v>
      </c>
      <c r="D42" t="s">
        <v>23</v>
      </c>
      <c r="E42" s="2">
        <v>290</v>
      </c>
      <c r="F42" s="2">
        <v>117792.68</v>
      </c>
      <c r="G42" t="s">
        <v>66</v>
      </c>
    </row>
    <row r="43" spans="1:7" x14ac:dyDescent="0.25">
      <c r="A43" t="str">
        <f>tbl_Internal[[#This Row],[Account]] &amp; "-" &amp; tbl_Internal[[#This Row],[Security]] &amp; "-" &amp; TEXT(tbl_Internal[[#This Row],[Date]],"yyyymmdd")</f>
        <v>A010-META-20251004</v>
      </c>
      <c r="B43" s="1">
        <v>45934</v>
      </c>
      <c r="C43" t="s">
        <v>20</v>
      </c>
      <c r="D43" t="s">
        <v>13</v>
      </c>
      <c r="E43" s="2">
        <v>329</v>
      </c>
      <c r="F43" s="2">
        <v>159900.10999999999</v>
      </c>
      <c r="G43" t="s">
        <v>67</v>
      </c>
    </row>
    <row r="44" spans="1:7" x14ac:dyDescent="0.25">
      <c r="A44" t="str">
        <f>tbl_Internal[[#This Row],[Account]] &amp; "-" &amp; tbl_Internal[[#This Row],[Security]] &amp; "-" &amp; TEXT(tbl_Internal[[#This Row],[Date]],"yyyymmdd")</f>
        <v>A009-TSLA-20251004</v>
      </c>
      <c r="B44" s="1">
        <v>45934</v>
      </c>
      <c r="C44" t="s">
        <v>9</v>
      </c>
      <c r="D44" t="s">
        <v>29</v>
      </c>
      <c r="E44" s="2">
        <v>142</v>
      </c>
      <c r="F44" s="2">
        <v>27414.16</v>
      </c>
      <c r="G44" t="s">
        <v>68</v>
      </c>
    </row>
    <row r="45" spans="1:7" x14ac:dyDescent="0.25">
      <c r="A45" t="str">
        <f>tbl_Internal[[#This Row],[Account]] &amp; "-" &amp; tbl_Internal[[#This Row],[Security]] &amp; "-" &amp; TEXT(tbl_Internal[[#This Row],[Date]],"yyyymmdd")</f>
        <v>A002-BABA-20251013</v>
      </c>
      <c r="B45" s="1">
        <v>45943</v>
      </c>
      <c r="C45" t="s">
        <v>18</v>
      </c>
      <c r="D45" t="s">
        <v>16</v>
      </c>
      <c r="E45" s="2">
        <v>89</v>
      </c>
      <c r="F45" s="2">
        <v>26436.54</v>
      </c>
      <c r="G45" t="s">
        <v>69</v>
      </c>
    </row>
    <row r="46" spans="1:7" x14ac:dyDescent="0.25">
      <c r="A46" t="str">
        <f>tbl_Internal[[#This Row],[Account]] &amp; "-" &amp; tbl_Internal[[#This Row],[Security]] &amp; "-" &amp; TEXT(tbl_Internal[[#This Row],[Date]],"yyyymmdd")</f>
        <v>A007-META-20251022</v>
      </c>
      <c r="B46" s="1">
        <v>45952</v>
      </c>
      <c r="C46" t="s">
        <v>22</v>
      </c>
      <c r="D46" t="s">
        <v>13</v>
      </c>
      <c r="E46" s="2">
        <v>432</v>
      </c>
      <c r="F46" s="2">
        <v>205232.96</v>
      </c>
      <c r="G46" t="s">
        <v>70</v>
      </c>
    </row>
    <row r="47" spans="1:7" x14ac:dyDescent="0.25">
      <c r="A47" t="str">
        <f>tbl_Internal[[#This Row],[Account]] &amp; "-" &amp; tbl_Internal[[#This Row],[Security]] &amp; "-" &amp; TEXT(tbl_Internal[[#This Row],[Date]],"yyyymmdd")</f>
        <v>A010-NVDA-20251002</v>
      </c>
      <c r="B47" s="1">
        <v>45932</v>
      </c>
      <c r="C47" t="s">
        <v>20</v>
      </c>
      <c r="D47" t="s">
        <v>7</v>
      </c>
      <c r="E47" s="2">
        <v>223</v>
      </c>
      <c r="F47" s="2">
        <v>75896.03</v>
      </c>
      <c r="G47" t="s">
        <v>71</v>
      </c>
    </row>
    <row r="48" spans="1:7" x14ac:dyDescent="0.25">
      <c r="A48" t="str">
        <f>tbl_Internal[[#This Row],[Account]] &amp; "-" &amp; tbl_Internal[[#This Row],[Security]] &amp; "-" &amp; TEXT(tbl_Internal[[#This Row],[Date]],"yyyymmdd")</f>
        <v>A005-GOOGL-20251005</v>
      </c>
      <c r="B48" s="1">
        <v>45935</v>
      </c>
      <c r="C48" t="s">
        <v>15</v>
      </c>
      <c r="D48" t="s">
        <v>32</v>
      </c>
      <c r="E48" s="2">
        <v>319</v>
      </c>
      <c r="F48" s="2">
        <v>54674.79</v>
      </c>
      <c r="G48" t="s">
        <v>72</v>
      </c>
    </row>
    <row r="49" spans="1:7" x14ac:dyDescent="0.25">
      <c r="A49" t="str">
        <f>tbl_Internal[[#This Row],[Account]] &amp; "-" &amp; tbl_Internal[[#This Row],[Security]] &amp; "-" &amp; TEXT(tbl_Internal[[#This Row],[Date]],"yyyymmdd")</f>
        <v>A005-AMZN-20251002</v>
      </c>
      <c r="B49" s="1">
        <v>45932</v>
      </c>
      <c r="C49" t="s">
        <v>15</v>
      </c>
      <c r="D49" t="s">
        <v>23</v>
      </c>
      <c r="E49" s="2">
        <v>140</v>
      </c>
      <c r="F49" s="2">
        <v>24421.1</v>
      </c>
      <c r="G49" t="s">
        <v>73</v>
      </c>
    </row>
    <row r="50" spans="1:7" x14ac:dyDescent="0.25">
      <c r="A50" t="str">
        <f>tbl_Internal[[#This Row],[Account]] &amp; "-" &amp; tbl_Internal[[#This Row],[Security]] &amp; "-" &amp; TEXT(tbl_Internal[[#This Row],[Date]],"yyyymmdd")</f>
        <v>A006-BABA-20251014</v>
      </c>
      <c r="B50" s="1">
        <v>45944</v>
      </c>
      <c r="C50" t="s">
        <v>37</v>
      </c>
      <c r="D50" t="s">
        <v>16</v>
      </c>
      <c r="E50" s="2">
        <v>106</v>
      </c>
      <c r="F50" s="2">
        <v>19090.3</v>
      </c>
      <c r="G50" t="s">
        <v>74</v>
      </c>
    </row>
    <row r="51" spans="1:7" x14ac:dyDescent="0.25">
      <c r="A51" t="str">
        <f>tbl_Internal[[#This Row],[Account]] &amp; "-" &amp; tbl_Internal[[#This Row],[Security]] &amp; "-" &amp; TEXT(tbl_Internal[[#This Row],[Date]],"yyyymmdd")</f>
        <v>A004-JPM-20251016</v>
      </c>
      <c r="B51" s="1">
        <v>45946</v>
      </c>
      <c r="C51" t="s">
        <v>45</v>
      </c>
      <c r="D51" t="s">
        <v>10</v>
      </c>
      <c r="E51" s="2">
        <v>418</v>
      </c>
      <c r="F51" s="2">
        <v>110154.27</v>
      </c>
      <c r="G51" t="s">
        <v>75</v>
      </c>
    </row>
    <row r="52" spans="1:7" x14ac:dyDescent="0.25">
      <c r="A52" t="str">
        <f>tbl_Internal[[#This Row],[Account]] &amp; "-" &amp; tbl_Internal[[#This Row],[Security]] &amp; "-" &amp; TEXT(tbl_Internal[[#This Row],[Date]],"yyyymmdd")</f>
        <v>A003-MSFT-20251014</v>
      </c>
      <c r="B52" s="1">
        <v>45944</v>
      </c>
      <c r="C52" t="s">
        <v>6</v>
      </c>
      <c r="D52" t="s">
        <v>27</v>
      </c>
      <c r="E52" s="2">
        <v>324</v>
      </c>
      <c r="F52" s="2">
        <v>104846.25</v>
      </c>
      <c r="G52" t="s">
        <v>76</v>
      </c>
    </row>
    <row r="53" spans="1:7" x14ac:dyDescent="0.25">
      <c r="A53" t="str">
        <f>tbl_Internal[[#This Row],[Account]] &amp; "-" &amp; tbl_Internal[[#This Row],[Security]] &amp; "-" &amp; TEXT(tbl_Internal[[#This Row],[Date]],"yyyymmdd")</f>
        <v>A001-AMZN-20251002</v>
      </c>
      <c r="B53" s="1">
        <v>45932</v>
      </c>
      <c r="C53" t="s">
        <v>40</v>
      </c>
      <c r="D53" t="s">
        <v>23</v>
      </c>
      <c r="E53" s="2">
        <v>133</v>
      </c>
      <c r="F53" s="2">
        <v>65191.79</v>
      </c>
      <c r="G53" t="s">
        <v>77</v>
      </c>
    </row>
    <row r="54" spans="1:7" x14ac:dyDescent="0.25">
      <c r="A54" t="str">
        <f>tbl_Internal[[#This Row],[Account]] &amp; "-" &amp; tbl_Internal[[#This Row],[Security]] &amp; "-" &amp; TEXT(tbl_Internal[[#This Row],[Date]],"yyyymmdd")</f>
        <v>A002-META-20251017</v>
      </c>
      <c r="B54" s="1">
        <v>45947</v>
      </c>
      <c r="C54" t="s">
        <v>18</v>
      </c>
      <c r="D54" t="s">
        <v>13</v>
      </c>
      <c r="E54" s="2">
        <v>193</v>
      </c>
      <c r="F54" s="2">
        <v>51249.99</v>
      </c>
      <c r="G54" t="s">
        <v>78</v>
      </c>
    </row>
    <row r="55" spans="1:7" x14ac:dyDescent="0.25">
      <c r="A55" t="str">
        <f>tbl_Internal[[#This Row],[Account]] &amp; "-" &amp; tbl_Internal[[#This Row],[Security]] &amp; "-" &amp; TEXT(tbl_Internal[[#This Row],[Date]],"yyyymmdd")</f>
        <v>A001-AMZN-20251015</v>
      </c>
      <c r="B55" s="1">
        <v>45945</v>
      </c>
      <c r="C55" t="s">
        <v>40</v>
      </c>
      <c r="D55" t="s">
        <v>23</v>
      </c>
      <c r="E55" s="2">
        <v>350</v>
      </c>
      <c r="F55" s="2">
        <v>162259.97</v>
      </c>
      <c r="G55" t="s">
        <v>79</v>
      </c>
    </row>
    <row r="56" spans="1:7" x14ac:dyDescent="0.25">
      <c r="A56" t="str">
        <f>tbl_Internal[[#This Row],[Account]] &amp; "-" &amp; tbl_Internal[[#This Row],[Security]] &amp; "-" &amp; TEXT(tbl_Internal[[#This Row],[Date]],"yyyymmdd")</f>
        <v>A001-META-20251001</v>
      </c>
      <c r="B56" s="1">
        <v>45931</v>
      </c>
      <c r="C56" t="s">
        <v>40</v>
      </c>
      <c r="D56" t="s">
        <v>13</v>
      </c>
      <c r="E56" s="2">
        <v>187</v>
      </c>
      <c r="F56" s="2">
        <v>36420.31</v>
      </c>
      <c r="G56" t="s">
        <v>80</v>
      </c>
    </row>
    <row r="57" spans="1:7" x14ac:dyDescent="0.25">
      <c r="A57" t="str">
        <f>tbl_Internal[[#This Row],[Account]] &amp; "-" &amp; tbl_Internal[[#This Row],[Security]] &amp; "-" &amp; TEXT(tbl_Internal[[#This Row],[Date]],"yyyymmdd")</f>
        <v>A001-META-20251002</v>
      </c>
      <c r="B57" s="1">
        <v>45932</v>
      </c>
      <c r="C57" t="s">
        <v>40</v>
      </c>
      <c r="D57" t="s">
        <v>13</v>
      </c>
      <c r="E57" s="2">
        <v>388</v>
      </c>
      <c r="F57" s="2">
        <v>96446.41</v>
      </c>
      <c r="G57" t="s">
        <v>81</v>
      </c>
    </row>
    <row r="58" spans="1:7" x14ac:dyDescent="0.25">
      <c r="A58" t="str">
        <f>tbl_Internal[[#This Row],[Account]] &amp; "-" &amp; tbl_Internal[[#This Row],[Security]] &amp; "-" &amp; TEXT(tbl_Internal[[#This Row],[Date]],"yyyymmdd")</f>
        <v>A001-MSFT-20251008</v>
      </c>
      <c r="B58" s="1">
        <v>45938</v>
      </c>
      <c r="C58" t="s">
        <v>40</v>
      </c>
      <c r="D58" t="s">
        <v>27</v>
      </c>
      <c r="E58" s="2">
        <v>300</v>
      </c>
      <c r="F58" s="2">
        <v>101794.18</v>
      </c>
      <c r="G58" t="s">
        <v>82</v>
      </c>
    </row>
    <row r="59" spans="1:7" x14ac:dyDescent="0.25">
      <c r="A59" t="str">
        <f>tbl_Internal[[#This Row],[Account]] &amp; "-" &amp; tbl_Internal[[#This Row],[Security]] &amp; "-" &amp; TEXT(tbl_Internal[[#This Row],[Date]],"yyyymmdd")</f>
        <v>A008-AAPL-20251030</v>
      </c>
      <c r="B59" s="1">
        <v>45960</v>
      </c>
      <c r="C59" t="s">
        <v>12</v>
      </c>
      <c r="D59" t="s">
        <v>25</v>
      </c>
      <c r="E59" s="2">
        <v>256</v>
      </c>
      <c r="F59" s="2">
        <v>87905.87</v>
      </c>
      <c r="G59" t="s">
        <v>83</v>
      </c>
    </row>
    <row r="60" spans="1:7" x14ac:dyDescent="0.25">
      <c r="A60" t="str">
        <f>tbl_Internal[[#This Row],[Account]] &amp; "-" &amp; tbl_Internal[[#This Row],[Security]] &amp; "-" &amp; TEXT(tbl_Internal[[#This Row],[Date]],"yyyymmdd")</f>
        <v>A004-BABA-20251005</v>
      </c>
      <c r="B60" s="1">
        <v>45935</v>
      </c>
      <c r="C60" t="s">
        <v>45</v>
      </c>
      <c r="D60" t="s">
        <v>16</v>
      </c>
      <c r="E60" s="2">
        <v>190</v>
      </c>
      <c r="F60" s="2">
        <v>26646.58</v>
      </c>
      <c r="G60" t="s">
        <v>84</v>
      </c>
    </row>
    <row r="61" spans="1:7" x14ac:dyDescent="0.25">
      <c r="A61" t="str">
        <f>tbl_Internal[[#This Row],[Account]] &amp; "-" &amp; tbl_Internal[[#This Row],[Security]] &amp; "-" &amp; TEXT(tbl_Internal[[#This Row],[Date]],"yyyymmdd")</f>
        <v>A002-JPM-20251019</v>
      </c>
      <c r="B61" s="1">
        <v>45949</v>
      </c>
      <c r="C61" t="s">
        <v>18</v>
      </c>
      <c r="D61" t="s">
        <v>10</v>
      </c>
      <c r="E61" s="2">
        <v>255</v>
      </c>
      <c r="F61" s="2">
        <v>89373.29</v>
      </c>
      <c r="G61" t="s">
        <v>85</v>
      </c>
    </row>
    <row r="62" spans="1:7" x14ac:dyDescent="0.25">
      <c r="A62" t="str">
        <f>tbl_Internal[[#This Row],[Account]] &amp; "-" &amp; tbl_Internal[[#This Row],[Security]] &amp; "-" &amp; TEXT(tbl_Internal[[#This Row],[Date]],"yyyymmdd")</f>
        <v>A009-META-20251030</v>
      </c>
      <c r="B62" s="1">
        <v>45960</v>
      </c>
      <c r="C62" t="s">
        <v>9</v>
      </c>
      <c r="D62" t="s">
        <v>13</v>
      </c>
      <c r="E62" s="2">
        <v>392</v>
      </c>
      <c r="F62" s="2">
        <v>105230.6</v>
      </c>
      <c r="G62" t="s">
        <v>86</v>
      </c>
    </row>
    <row r="63" spans="1:7" x14ac:dyDescent="0.25">
      <c r="A63" t="str">
        <f>tbl_Internal[[#This Row],[Account]] &amp; "-" &amp; tbl_Internal[[#This Row],[Security]] &amp; "-" &amp; TEXT(tbl_Internal[[#This Row],[Date]],"yyyymmdd")</f>
        <v>A007-GOOGL-20251010</v>
      </c>
      <c r="B63" s="1">
        <v>45940</v>
      </c>
      <c r="C63" t="s">
        <v>22</v>
      </c>
      <c r="D63" t="s">
        <v>32</v>
      </c>
      <c r="E63" s="2">
        <v>67</v>
      </c>
      <c r="F63" s="2">
        <v>20285.32</v>
      </c>
      <c r="G63" t="s">
        <v>87</v>
      </c>
    </row>
    <row r="64" spans="1:7" x14ac:dyDescent="0.25">
      <c r="A64" t="str">
        <f>tbl_Internal[[#This Row],[Account]] &amp; "-" &amp; tbl_Internal[[#This Row],[Security]] &amp; "-" &amp; TEXT(tbl_Internal[[#This Row],[Date]],"yyyymmdd")</f>
        <v>A001-BABA-20251017</v>
      </c>
      <c r="B64" s="1">
        <v>45947</v>
      </c>
      <c r="C64" t="s">
        <v>40</v>
      </c>
      <c r="D64" t="s">
        <v>16</v>
      </c>
      <c r="E64" s="2">
        <v>172</v>
      </c>
      <c r="F64" s="2">
        <v>69675.67</v>
      </c>
      <c r="G64" t="s">
        <v>88</v>
      </c>
    </row>
    <row r="65" spans="1:7" x14ac:dyDescent="0.25">
      <c r="A65" t="str">
        <f>tbl_Internal[[#This Row],[Account]] &amp; "-" &amp; tbl_Internal[[#This Row],[Security]] &amp; "-" &amp; TEXT(tbl_Internal[[#This Row],[Date]],"yyyymmdd")</f>
        <v>A004-AMZN-20251002</v>
      </c>
      <c r="B65" s="1">
        <v>45932</v>
      </c>
      <c r="C65" t="s">
        <v>45</v>
      </c>
      <c r="D65" t="s">
        <v>23</v>
      </c>
      <c r="E65" s="2">
        <v>474</v>
      </c>
      <c r="F65" s="2">
        <v>64335.93</v>
      </c>
      <c r="G65" t="s">
        <v>89</v>
      </c>
    </row>
    <row r="66" spans="1:7" x14ac:dyDescent="0.25">
      <c r="A66" t="str">
        <f>tbl_Internal[[#This Row],[Account]] &amp; "-" &amp; tbl_Internal[[#This Row],[Security]] &amp; "-" &amp; TEXT(tbl_Internal[[#This Row],[Date]],"yyyymmdd")</f>
        <v>A003-NVDA-20251021</v>
      </c>
      <c r="B66" s="1">
        <v>45951</v>
      </c>
      <c r="C66" t="s">
        <v>6</v>
      </c>
      <c r="D66" t="s">
        <v>7</v>
      </c>
      <c r="E66" s="2">
        <v>91</v>
      </c>
      <c r="F66" s="2">
        <v>28471.040000000001</v>
      </c>
      <c r="G66" t="s">
        <v>90</v>
      </c>
    </row>
    <row r="67" spans="1:7" x14ac:dyDescent="0.25">
      <c r="A67" t="str">
        <f>tbl_Internal[[#This Row],[Account]] &amp; "-" &amp; tbl_Internal[[#This Row],[Security]] &amp; "-" &amp; TEXT(tbl_Internal[[#This Row],[Date]],"yyyymmdd")</f>
        <v>A008-AAPL-20251026</v>
      </c>
      <c r="B67" s="1">
        <v>45956</v>
      </c>
      <c r="C67" t="s">
        <v>12</v>
      </c>
      <c r="D67" t="s">
        <v>25</v>
      </c>
      <c r="E67" s="2">
        <v>475</v>
      </c>
      <c r="F67" s="2">
        <v>125147.37</v>
      </c>
      <c r="G67" t="s">
        <v>91</v>
      </c>
    </row>
    <row r="68" spans="1:7" x14ac:dyDescent="0.25">
      <c r="A68" t="str">
        <f>tbl_Internal[[#This Row],[Account]] &amp; "-" &amp; tbl_Internal[[#This Row],[Security]] &amp; "-" &amp; TEXT(tbl_Internal[[#This Row],[Date]],"yyyymmdd")</f>
        <v>A004-NVDA-20251027</v>
      </c>
      <c r="B68" s="1">
        <v>45957</v>
      </c>
      <c r="C68" t="s">
        <v>45</v>
      </c>
      <c r="D68" t="s">
        <v>7</v>
      </c>
      <c r="E68" s="2">
        <v>498</v>
      </c>
      <c r="F68" s="2">
        <v>147931.21</v>
      </c>
      <c r="G68" t="s">
        <v>92</v>
      </c>
    </row>
    <row r="69" spans="1:7" x14ac:dyDescent="0.25">
      <c r="A69" t="str">
        <f>tbl_Internal[[#This Row],[Account]] &amp; "-" &amp; tbl_Internal[[#This Row],[Security]] &amp; "-" &amp; TEXT(tbl_Internal[[#This Row],[Date]],"yyyymmdd")</f>
        <v>A003-TSLA-20251027</v>
      </c>
      <c r="B69" s="1">
        <v>45957</v>
      </c>
      <c r="C69" t="s">
        <v>6</v>
      </c>
      <c r="D69" t="s">
        <v>29</v>
      </c>
      <c r="E69" s="2">
        <v>329</v>
      </c>
      <c r="F69" s="2">
        <v>54813.279999999999</v>
      </c>
      <c r="G69" t="s">
        <v>93</v>
      </c>
    </row>
    <row r="70" spans="1:7" x14ac:dyDescent="0.25">
      <c r="A70" t="str">
        <f>tbl_Internal[[#This Row],[Account]] &amp; "-" &amp; tbl_Internal[[#This Row],[Security]] &amp; "-" &amp; TEXT(tbl_Internal[[#This Row],[Date]],"yyyymmdd")</f>
        <v>A009-BABA-20251020</v>
      </c>
      <c r="B70" s="1">
        <v>45950</v>
      </c>
      <c r="C70" t="s">
        <v>9</v>
      </c>
      <c r="D70" t="s">
        <v>16</v>
      </c>
      <c r="E70" s="2">
        <v>481</v>
      </c>
      <c r="F70" s="2">
        <v>223048.83</v>
      </c>
      <c r="G70" t="s">
        <v>94</v>
      </c>
    </row>
    <row r="71" spans="1:7" x14ac:dyDescent="0.25">
      <c r="A71" t="str">
        <f>tbl_Internal[[#This Row],[Account]] &amp; "-" &amp; tbl_Internal[[#This Row],[Security]] &amp; "-" &amp; TEXT(tbl_Internal[[#This Row],[Date]],"yyyymmdd")</f>
        <v>A007-GOOGL-20251011</v>
      </c>
      <c r="B71" s="1">
        <v>45941</v>
      </c>
      <c r="C71" t="s">
        <v>22</v>
      </c>
      <c r="D71" t="s">
        <v>32</v>
      </c>
      <c r="E71" s="2">
        <v>208</v>
      </c>
      <c r="F71" s="2">
        <v>66581.67</v>
      </c>
      <c r="G71" t="s">
        <v>95</v>
      </c>
    </row>
    <row r="72" spans="1:7" x14ac:dyDescent="0.25">
      <c r="A72" t="str">
        <f>tbl_Internal[[#This Row],[Account]] &amp; "-" &amp; tbl_Internal[[#This Row],[Security]] &amp; "-" &amp; TEXT(tbl_Internal[[#This Row],[Date]],"yyyymmdd")</f>
        <v>A010-NVDA-20251017</v>
      </c>
      <c r="B72" s="1">
        <v>45947</v>
      </c>
      <c r="C72" t="s">
        <v>20</v>
      </c>
      <c r="D72" t="s">
        <v>7</v>
      </c>
      <c r="E72" s="2">
        <v>66</v>
      </c>
      <c r="F72" s="2">
        <v>30797.02</v>
      </c>
      <c r="G72" t="s">
        <v>96</v>
      </c>
    </row>
    <row r="73" spans="1:7" x14ac:dyDescent="0.25">
      <c r="A73" t="str">
        <f>tbl_Internal[[#This Row],[Account]] &amp; "-" &amp; tbl_Internal[[#This Row],[Security]] &amp; "-" &amp; TEXT(tbl_Internal[[#This Row],[Date]],"yyyymmdd")</f>
        <v>A005-JPM-20251025</v>
      </c>
      <c r="B73" s="1">
        <v>45955</v>
      </c>
      <c r="C73" t="s">
        <v>15</v>
      </c>
      <c r="D73" t="s">
        <v>10</v>
      </c>
      <c r="E73" s="2">
        <v>489</v>
      </c>
      <c r="F73" s="2">
        <v>68480.38</v>
      </c>
      <c r="G73" t="s">
        <v>97</v>
      </c>
    </row>
    <row r="74" spans="1:7" x14ac:dyDescent="0.25">
      <c r="A74" t="str">
        <f>tbl_Internal[[#This Row],[Account]] &amp; "-" &amp; tbl_Internal[[#This Row],[Security]] &amp; "-" &amp; TEXT(tbl_Internal[[#This Row],[Date]],"yyyymmdd")</f>
        <v>A006-GOOGL-20251008</v>
      </c>
      <c r="B74" s="1">
        <v>45938</v>
      </c>
      <c r="C74" t="s">
        <v>37</v>
      </c>
      <c r="D74" t="s">
        <v>32</v>
      </c>
      <c r="E74" s="2">
        <v>359</v>
      </c>
      <c r="F74" s="2">
        <v>73033.09</v>
      </c>
      <c r="G74" t="s">
        <v>98</v>
      </c>
    </row>
    <row r="75" spans="1:7" x14ac:dyDescent="0.25">
      <c r="A75" t="str">
        <f>tbl_Internal[[#This Row],[Account]] &amp; "-" &amp; tbl_Internal[[#This Row],[Security]] &amp; "-" &amp; TEXT(tbl_Internal[[#This Row],[Date]],"yyyymmdd")</f>
        <v>A003-JPM-20251027</v>
      </c>
      <c r="B75" s="1">
        <v>45957</v>
      </c>
      <c r="C75" t="s">
        <v>6</v>
      </c>
      <c r="D75" t="s">
        <v>10</v>
      </c>
      <c r="E75" s="2">
        <v>71</v>
      </c>
      <c r="F75" s="2">
        <v>13162.86</v>
      </c>
      <c r="G75" t="s">
        <v>99</v>
      </c>
    </row>
    <row r="76" spans="1:7" x14ac:dyDescent="0.25">
      <c r="A76" t="str">
        <f>tbl_Internal[[#This Row],[Account]] &amp; "-" &amp; tbl_Internal[[#This Row],[Security]] &amp; "-" &amp; TEXT(tbl_Internal[[#This Row],[Date]],"yyyymmdd")</f>
        <v>A006-TSLA-20251031</v>
      </c>
      <c r="B76" s="1">
        <v>45961</v>
      </c>
      <c r="C76" t="s">
        <v>37</v>
      </c>
      <c r="D76" t="s">
        <v>29</v>
      </c>
      <c r="E76" s="2">
        <v>73</v>
      </c>
      <c r="F76" s="2">
        <v>21242.69</v>
      </c>
      <c r="G76" t="s">
        <v>100</v>
      </c>
    </row>
    <row r="77" spans="1:7" x14ac:dyDescent="0.25">
      <c r="A77" t="str">
        <f>tbl_Internal[[#This Row],[Account]] &amp; "-" &amp; tbl_Internal[[#This Row],[Security]] &amp; "-" &amp; TEXT(tbl_Internal[[#This Row],[Date]],"yyyymmdd")</f>
        <v>A004-JPM-20251021</v>
      </c>
      <c r="B77" s="1">
        <v>45951</v>
      </c>
      <c r="C77" t="s">
        <v>45</v>
      </c>
      <c r="D77" t="s">
        <v>10</v>
      </c>
      <c r="E77" s="2">
        <v>414</v>
      </c>
      <c r="F77" s="2">
        <v>156079.98000000001</v>
      </c>
      <c r="G77" t="s">
        <v>101</v>
      </c>
    </row>
    <row r="78" spans="1:7" x14ac:dyDescent="0.25">
      <c r="A78" t="str">
        <f>tbl_Internal[[#This Row],[Account]] &amp; "-" &amp; tbl_Internal[[#This Row],[Security]] &amp; "-" &amp; TEXT(tbl_Internal[[#This Row],[Date]],"yyyymmdd")</f>
        <v>A001-AMZN-20251029</v>
      </c>
      <c r="B78" s="1">
        <v>45959</v>
      </c>
      <c r="C78" t="s">
        <v>40</v>
      </c>
      <c r="D78" t="s">
        <v>23</v>
      </c>
      <c r="E78" s="2">
        <v>123</v>
      </c>
      <c r="F78" s="2">
        <v>21993.31</v>
      </c>
      <c r="G78" t="s">
        <v>102</v>
      </c>
    </row>
    <row r="79" spans="1:7" x14ac:dyDescent="0.25">
      <c r="A79" t="str">
        <f>tbl_Internal[[#This Row],[Account]] &amp; "-" &amp; tbl_Internal[[#This Row],[Security]] &amp; "-" &amp; TEXT(tbl_Internal[[#This Row],[Date]],"yyyymmdd")</f>
        <v>A004-NVDA-20251030</v>
      </c>
      <c r="B79" s="1">
        <v>45960</v>
      </c>
      <c r="C79" t="s">
        <v>45</v>
      </c>
      <c r="D79" t="s">
        <v>7</v>
      </c>
      <c r="E79" s="2">
        <v>414</v>
      </c>
      <c r="F79" s="2">
        <v>100515.59</v>
      </c>
      <c r="G79" t="s">
        <v>103</v>
      </c>
    </row>
    <row r="80" spans="1:7" x14ac:dyDescent="0.25">
      <c r="A80" t="str">
        <f>tbl_Internal[[#This Row],[Account]] &amp; "-" &amp; tbl_Internal[[#This Row],[Security]] &amp; "-" &amp; TEXT(tbl_Internal[[#This Row],[Date]],"yyyymmdd")</f>
        <v>A006-NVDA-20251008</v>
      </c>
      <c r="B80" s="1">
        <v>45938</v>
      </c>
      <c r="C80" t="s">
        <v>37</v>
      </c>
      <c r="D80" t="s">
        <v>7</v>
      </c>
      <c r="E80" s="2">
        <v>452</v>
      </c>
      <c r="F80" s="2">
        <v>68499.350000000006</v>
      </c>
      <c r="G80" t="s">
        <v>104</v>
      </c>
    </row>
    <row r="81" spans="1:7" x14ac:dyDescent="0.25">
      <c r="A81" t="str">
        <f>tbl_Internal[[#This Row],[Account]] &amp; "-" &amp; tbl_Internal[[#This Row],[Security]] &amp; "-" &amp; TEXT(tbl_Internal[[#This Row],[Date]],"yyyymmdd")</f>
        <v>A009-BABA-20251008</v>
      </c>
      <c r="B81" s="1">
        <v>45938</v>
      </c>
      <c r="C81" t="s">
        <v>9</v>
      </c>
      <c r="D81" t="s">
        <v>16</v>
      </c>
      <c r="E81" s="2">
        <v>67</v>
      </c>
      <c r="F81" s="2">
        <v>21617.73</v>
      </c>
      <c r="G81" t="s">
        <v>105</v>
      </c>
    </row>
    <row r="82" spans="1:7" x14ac:dyDescent="0.25">
      <c r="A82" t="str">
        <f>tbl_Internal[[#This Row],[Account]] &amp; "-" &amp; tbl_Internal[[#This Row],[Security]] &amp; "-" &amp; TEXT(tbl_Internal[[#This Row],[Date]],"yyyymmdd")</f>
        <v>A005-NVDA-20251021</v>
      </c>
      <c r="B82" s="1">
        <v>45951</v>
      </c>
      <c r="C82" t="s">
        <v>15</v>
      </c>
      <c r="D82" t="s">
        <v>7</v>
      </c>
      <c r="E82" s="2">
        <v>59</v>
      </c>
      <c r="F82" s="2">
        <v>10361.469999999999</v>
      </c>
      <c r="G82" t="s">
        <v>106</v>
      </c>
    </row>
    <row r="83" spans="1:7" x14ac:dyDescent="0.25">
      <c r="A83" t="str">
        <f>tbl_Internal[[#This Row],[Account]] &amp; "-" &amp; tbl_Internal[[#This Row],[Security]] &amp; "-" &amp; TEXT(tbl_Internal[[#This Row],[Date]],"yyyymmdd")</f>
        <v>A004-TSLA-20251019</v>
      </c>
      <c r="B83" s="1">
        <v>45949</v>
      </c>
      <c r="C83" t="s">
        <v>45</v>
      </c>
      <c r="D83" t="s">
        <v>29</v>
      </c>
      <c r="E83" s="2">
        <v>364</v>
      </c>
      <c r="F83" s="2">
        <v>138568.26999999999</v>
      </c>
      <c r="G83" t="s">
        <v>107</v>
      </c>
    </row>
    <row r="84" spans="1:7" x14ac:dyDescent="0.25">
      <c r="A84" t="str">
        <f>tbl_Internal[[#This Row],[Account]] &amp; "-" &amp; tbl_Internal[[#This Row],[Security]] &amp; "-" &amp; TEXT(tbl_Internal[[#This Row],[Date]],"yyyymmdd")</f>
        <v>A010-GOOGL-20251004</v>
      </c>
      <c r="B84" s="1">
        <v>45934</v>
      </c>
      <c r="C84" t="s">
        <v>20</v>
      </c>
      <c r="D84" t="s">
        <v>32</v>
      </c>
      <c r="E84" s="2">
        <v>118</v>
      </c>
      <c r="F84" s="2">
        <v>28389.66</v>
      </c>
      <c r="G84" t="s">
        <v>108</v>
      </c>
    </row>
    <row r="85" spans="1:7" x14ac:dyDescent="0.25">
      <c r="A85" t="str">
        <f>tbl_Internal[[#This Row],[Account]] &amp; "-" &amp; tbl_Internal[[#This Row],[Security]] &amp; "-" &amp; TEXT(tbl_Internal[[#This Row],[Date]],"yyyymmdd")</f>
        <v>A006-JPM-20251023</v>
      </c>
      <c r="B85" s="1">
        <v>45953</v>
      </c>
      <c r="C85" t="s">
        <v>37</v>
      </c>
      <c r="D85" t="s">
        <v>10</v>
      </c>
      <c r="E85" s="2">
        <v>427</v>
      </c>
      <c r="F85" s="2">
        <v>85040.67</v>
      </c>
      <c r="G85" t="s">
        <v>109</v>
      </c>
    </row>
    <row r="86" spans="1:7" x14ac:dyDescent="0.25">
      <c r="A86" t="str">
        <f>tbl_Internal[[#This Row],[Account]] &amp; "-" &amp; tbl_Internal[[#This Row],[Security]] &amp; "-" &amp; TEXT(tbl_Internal[[#This Row],[Date]],"yyyymmdd")</f>
        <v>A005-NVDA-20251008</v>
      </c>
      <c r="B86" s="1">
        <v>45938</v>
      </c>
      <c r="C86" t="s">
        <v>15</v>
      </c>
      <c r="D86" t="s">
        <v>7</v>
      </c>
      <c r="E86" s="2">
        <v>165</v>
      </c>
      <c r="F86" s="2">
        <v>46300.67</v>
      </c>
      <c r="G86" t="s">
        <v>110</v>
      </c>
    </row>
    <row r="87" spans="1:7" x14ac:dyDescent="0.25">
      <c r="A87" t="str">
        <f>tbl_Internal[[#This Row],[Account]] &amp; "-" &amp; tbl_Internal[[#This Row],[Security]] &amp; "-" &amp; TEXT(tbl_Internal[[#This Row],[Date]],"yyyymmdd")</f>
        <v>A004-AAPL-20251009</v>
      </c>
      <c r="B87" s="1">
        <v>45939</v>
      </c>
      <c r="C87" t="s">
        <v>45</v>
      </c>
      <c r="D87" t="s">
        <v>25</v>
      </c>
      <c r="E87" s="2">
        <v>195</v>
      </c>
      <c r="F87" s="2">
        <v>24693.22</v>
      </c>
      <c r="G87" t="s">
        <v>111</v>
      </c>
    </row>
    <row r="88" spans="1:7" x14ac:dyDescent="0.25">
      <c r="A88" t="str">
        <f>tbl_Internal[[#This Row],[Account]] &amp; "-" &amp; tbl_Internal[[#This Row],[Security]] &amp; "-" &amp; TEXT(tbl_Internal[[#This Row],[Date]],"yyyymmdd")</f>
        <v>A004-MSFT-20251031</v>
      </c>
      <c r="B88" s="1">
        <v>45961</v>
      </c>
      <c r="C88" t="s">
        <v>45</v>
      </c>
      <c r="D88" t="s">
        <v>27</v>
      </c>
      <c r="E88" s="2">
        <v>154</v>
      </c>
      <c r="F88" s="2">
        <v>59290.49</v>
      </c>
      <c r="G88" t="s">
        <v>112</v>
      </c>
    </row>
    <row r="89" spans="1:7" x14ac:dyDescent="0.25">
      <c r="A89" t="str">
        <f>tbl_Internal[[#This Row],[Account]] &amp; "-" &amp; tbl_Internal[[#This Row],[Security]] &amp; "-" &amp; TEXT(tbl_Internal[[#This Row],[Date]],"yyyymmdd")</f>
        <v>A006-BABA-20251022</v>
      </c>
      <c r="B89" s="1">
        <v>45952</v>
      </c>
      <c r="C89" t="s">
        <v>37</v>
      </c>
      <c r="D89" t="s">
        <v>16</v>
      </c>
      <c r="E89" s="2">
        <v>300</v>
      </c>
      <c r="F89" s="2">
        <v>113453.18</v>
      </c>
      <c r="G89" t="s">
        <v>113</v>
      </c>
    </row>
    <row r="90" spans="1:7" x14ac:dyDescent="0.25">
      <c r="A90" t="str">
        <f>tbl_Internal[[#This Row],[Account]] &amp; "-" &amp; tbl_Internal[[#This Row],[Security]] &amp; "-" &amp; TEXT(tbl_Internal[[#This Row],[Date]],"yyyymmdd")</f>
        <v>A010-AMZN-20251020</v>
      </c>
      <c r="B90" s="1">
        <v>45950</v>
      </c>
      <c r="C90" t="s">
        <v>20</v>
      </c>
      <c r="D90" t="s">
        <v>23</v>
      </c>
      <c r="E90" s="2">
        <v>140</v>
      </c>
      <c r="F90" s="2">
        <v>18036.990000000002</v>
      </c>
      <c r="G90" t="s">
        <v>114</v>
      </c>
    </row>
    <row r="91" spans="1:7" x14ac:dyDescent="0.25">
      <c r="A91" t="str">
        <f>tbl_Internal[[#This Row],[Account]] &amp; "-" &amp; tbl_Internal[[#This Row],[Security]] &amp; "-" &amp; TEXT(tbl_Internal[[#This Row],[Date]],"yyyymmdd")</f>
        <v>A004-MSFT-20251023</v>
      </c>
      <c r="B91" s="1">
        <v>45953</v>
      </c>
      <c r="C91" t="s">
        <v>45</v>
      </c>
      <c r="D91" t="s">
        <v>27</v>
      </c>
      <c r="E91" s="2">
        <v>342</v>
      </c>
      <c r="F91" s="2">
        <v>143713.85</v>
      </c>
      <c r="G91" t="s">
        <v>115</v>
      </c>
    </row>
    <row r="92" spans="1:7" x14ac:dyDescent="0.25">
      <c r="A92" t="str">
        <f>tbl_Internal[[#This Row],[Account]] &amp; "-" &amp; tbl_Internal[[#This Row],[Security]] &amp; "-" &amp; TEXT(tbl_Internal[[#This Row],[Date]],"yyyymmdd")</f>
        <v>A001-AAPL-20251005</v>
      </c>
      <c r="B92" s="1">
        <v>45935</v>
      </c>
      <c r="C92" t="s">
        <v>40</v>
      </c>
      <c r="D92" t="s">
        <v>25</v>
      </c>
      <c r="E92" s="2">
        <v>368</v>
      </c>
      <c r="F92" s="2">
        <v>122032.52</v>
      </c>
      <c r="G92" t="s">
        <v>116</v>
      </c>
    </row>
    <row r="93" spans="1:7" x14ac:dyDescent="0.25">
      <c r="A93" t="str">
        <f>tbl_Internal[[#This Row],[Account]] &amp; "-" &amp; tbl_Internal[[#This Row],[Security]] &amp; "-" &amp; TEXT(tbl_Internal[[#This Row],[Date]],"yyyymmdd")</f>
        <v>A004-JPM-20251024</v>
      </c>
      <c r="B93" s="1">
        <v>45954</v>
      </c>
      <c r="C93" t="s">
        <v>45</v>
      </c>
      <c r="D93" t="s">
        <v>10</v>
      </c>
      <c r="E93" s="2">
        <v>445</v>
      </c>
      <c r="F93" s="2">
        <v>53599.16</v>
      </c>
      <c r="G93" t="s">
        <v>117</v>
      </c>
    </row>
    <row r="94" spans="1:7" x14ac:dyDescent="0.25">
      <c r="A94" t="str">
        <f>tbl_Internal[[#This Row],[Account]] &amp; "-" &amp; tbl_Internal[[#This Row],[Security]] &amp; "-" &amp; TEXT(tbl_Internal[[#This Row],[Date]],"yyyymmdd")</f>
        <v>A004-NVDA-20251022</v>
      </c>
      <c r="B94" s="1">
        <v>45952</v>
      </c>
      <c r="C94" t="s">
        <v>45</v>
      </c>
      <c r="D94" t="s">
        <v>7</v>
      </c>
      <c r="E94" s="2">
        <v>423</v>
      </c>
      <c r="F94" s="2">
        <v>76880.800000000003</v>
      </c>
      <c r="G94" t="s">
        <v>118</v>
      </c>
    </row>
    <row r="95" spans="1:7" x14ac:dyDescent="0.25">
      <c r="A95" t="str">
        <f>tbl_Internal[[#This Row],[Account]] &amp; "-" &amp; tbl_Internal[[#This Row],[Security]] &amp; "-" &amp; TEXT(tbl_Internal[[#This Row],[Date]],"yyyymmdd")</f>
        <v>A002-META-20251006</v>
      </c>
      <c r="B95" s="1">
        <v>45936</v>
      </c>
      <c r="C95" t="s">
        <v>18</v>
      </c>
      <c r="D95" t="s">
        <v>13</v>
      </c>
      <c r="E95" s="2">
        <v>102</v>
      </c>
      <c r="F95" s="2">
        <v>20737.53</v>
      </c>
      <c r="G95" t="s">
        <v>119</v>
      </c>
    </row>
    <row r="96" spans="1:7" x14ac:dyDescent="0.25">
      <c r="A96" t="str">
        <f>tbl_Internal[[#This Row],[Account]] &amp; "-" &amp; tbl_Internal[[#This Row],[Security]] &amp; "-" &amp; TEXT(tbl_Internal[[#This Row],[Date]],"yyyymmdd")</f>
        <v>A005-GOOGL-20251005</v>
      </c>
      <c r="B96" s="1">
        <v>45935</v>
      </c>
      <c r="C96" t="s">
        <v>15</v>
      </c>
      <c r="D96" t="s">
        <v>32</v>
      </c>
      <c r="E96" s="2">
        <v>326</v>
      </c>
      <c r="F96" s="2">
        <v>109856.76</v>
      </c>
      <c r="G96" t="s">
        <v>120</v>
      </c>
    </row>
    <row r="97" spans="1:7" x14ac:dyDescent="0.25">
      <c r="A97" t="str">
        <f>tbl_Internal[[#This Row],[Account]] &amp; "-" &amp; tbl_Internal[[#This Row],[Security]] &amp; "-" &amp; TEXT(tbl_Internal[[#This Row],[Date]],"yyyymmdd")</f>
        <v>A006-META-20251018</v>
      </c>
      <c r="B97" s="1">
        <v>45948</v>
      </c>
      <c r="C97" t="s">
        <v>37</v>
      </c>
      <c r="D97" t="s">
        <v>13</v>
      </c>
      <c r="E97" s="2">
        <v>232</v>
      </c>
      <c r="F97" s="2">
        <v>55287.62</v>
      </c>
      <c r="G97" t="s">
        <v>121</v>
      </c>
    </row>
    <row r="98" spans="1:7" x14ac:dyDescent="0.25">
      <c r="A98" t="str">
        <f>tbl_Internal[[#This Row],[Account]] &amp; "-" &amp; tbl_Internal[[#This Row],[Security]] &amp; "-" &amp; TEXT(tbl_Internal[[#This Row],[Date]],"yyyymmdd")</f>
        <v>A009-META-20251014</v>
      </c>
      <c r="B98" s="1">
        <v>45944</v>
      </c>
      <c r="C98" t="s">
        <v>9</v>
      </c>
      <c r="D98" t="s">
        <v>13</v>
      </c>
      <c r="E98" s="2">
        <v>479</v>
      </c>
      <c r="F98" s="2">
        <v>60015.91</v>
      </c>
      <c r="G98" t="s">
        <v>122</v>
      </c>
    </row>
    <row r="99" spans="1:7" x14ac:dyDescent="0.25">
      <c r="A99" t="str">
        <f>tbl_Internal[[#This Row],[Account]] &amp; "-" &amp; tbl_Internal[[#This Row],[Security]] &amp; "-" &amp; TEXT(tbl_Internal[[#This Row],[Date]],"yyyymmdd")</f>
        <v>A008-BABA-20251019</v>
      </c>
      <c r="B99" s="1">
        <v>45949</v>
      </c>
      <c r="C99" t="s">
        <v>12</v>
      </c>
      <c r="D99" t="s">
        <v>16</v>
      </c>
      <c r="E99" s="2">
        <v>335</v>
      </c>
      <c r="F99" s="2">
        <v>58847.58</v>
      </c>
      <c r="G99" t="s">
        <v>123</v>
      </c>
    </row>
    <row r="100" spans="1:7" x14ac:dyDescent="0.25">
      <c r="A100" t="str">
        <f>tbl_Internal[[#This Row],[Account]] &amp; "-" &amp; tbl_Internal[[#This Row],[Security]] &amp; "-" &amp; TEXT(tbl_Internal[[#This Row],[Date]],"yyyymmdd")</f>
        <v>A001-BABA-20251022</v>
      </c>
      <c r="B100" s="1">
        <v>45952</v>
      </c>
      <c r="C100" t="s">
        <v>40</v>
      </c>
      <c r="D100" t="s">
        <v>16</v>
      </c>
      <c r="E100" s="2">
        <v>140</v>
      </c>
      <c r="F100" s="2">
        <v>62657.78</v>
      </c>
      <c r="G100" t="s">
        <v>124</v>
      </c>
    </row>
    <row r="101" spans="1:7" x14ac:dyDescent="0.25">
      <c r="A101" t="str">
        <f>tbl_Internal[[#This Row],[Account]] &amp; "-" &amp; tbl_Internal[[#This Row],[Security]] &amp; "-" &amp; TEXT(tbl_Internal[[#This Row],[Date]],"yyyymmdd")</f>
        <v>A009-AAPL-20251028</v>
      </c>
      <c r="B101" s="1">
        <v>45958</v>
      </c>
      <c r="C101" t="s">
        <v>9</v>
      </c>
      <c r="D101" t="s">
        <v>25</v>
      </c>
      <c r="E101" s="2">
        <v>323</v>
      </c>
      <c r="F101" s="2">
        <v>110989.27</v>
      </c>
      <c r="G101" t="s">
        <v>125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sqref="A1:A1048576"/>
    </sheetView>
  </sheetViews>
  <sheetFormatPr defaultRowHeight="15" x14ac:dyDescent="0.25"/>
  <cols>
    <col min="1" max="1" width="24" customWidth="1"/>
    <col min="2" max="2" width="17.42578125" style="1" customWidth="1"/>
    <col min="3" max="3" width="14.5703125" customWidth="1"/>
    <col min="4" max="4" width="11.85546875" customWidth="1"/>
    <col min="5" max="5" width="12.28515625" style="2" customWidth="1"/>
    <col min="6" max="6" width="16.85546875" style="2" customWidth="1"/>
    <col min="7" max="7" width="13.7109375" customWidth="1"/>
  </cols>
  <sheetData>
    <row r="1" spans="1:7" x14ac:dyDescent="0.25">
      <c r="A1" t="s">
        <v>126</v>
      </c>
      <c r="B1" s="1" t="s">
        <v>0</v>
      </c>
      <c r="C1" t="s">
        <v>1</v>
      </c>
      <c r="D1" t="s">
        <v>2</v>
      </c>
      <c r="E1" s="2" t="s">
        <v>3</v>
      </c>
      <c r="F1" s="2" t="s">
        <v>4</v>
      </c>
      <c r="G1" t="s">
        <v>5</v>
      </c>
    </row>
    <row r="2" spans="1:7" x14ac:dyDescent="0.25">
      <c r="A2" t="str">
        <f>tbl_Custodian[[#This Row],[Account]] &amp; "-" &amp; tbl_Custodian[[#This Row],[Security]] &amp; "-" &amp; TEXT(tbl_Custodian[[#This Row],[Date]],"yyyymmdd")</f>
        <v>A004-JPM-20251024</v>
      </c>
      <c r="B2" s="1">
        <v>45954</v>
      </c>
      <c r="C2" t="s">
        <v>45</v>
      </c>
      <c r="D2" t="s">
        <v>10</v>
      </c>
      <c r="E2" s="2">
        <v>445</v>
      </c>
      <c r="F2" s="2">
        <v>53599.16</v>
      </c>
      <c r="G2" t="s">
        <v>117</v>
      </c>
    </row>
    <row r="3" spans="1:7" x14ac:dyDescent="0.25">
      <c r="A3" t="str">
        <f>tbl_Custodian[[#This Row],[Account]] &amp; "-" &amp; tbl_Custodian[[#This Row],[Security]] &amp; "-" &amp; TEXT(tbl_Custodian[[#This Row],[Date]],"yyyymmdd")</f>
        <v>A002-BABA-20251013</v>
      </c>
      <c r="B3" s="1">
        <v>45943</v>
      </c>
      <c r="C3" t="s">
        <v>18</v>
      </c>
      <c r="D3" t="s">
        <v>16</v>
      </c>
      <c r="E3" s="2">
        <v>89</v>
      </c>
      <c r="F3" s="2">
        <v>26500.6233890207</v>
      </c>
      <c r="G3" t="s">
        <v>69</v>
      </c>
    </row>
    <row r="4" spans="1:7" x14ac:dyDescent="0.25">
      <c r="A4" t="str">
        <f>tbl_Custodian[[#This Row],[Account]] &amp; "-" &amp; tbl_Custodian[[#This Row],[Security]] &amp; "-" &amp; TEXT(tbl_Custodian[[#This Row],[Date]],"yyyymmdd")</f>
        <v>A003-MSFT-20251014</v>
      </c>
      <c r="B4" s="1">
        <v>45944</v>
      </c>
      <c r="C4" t="s">
        <v>6</v>
      </c>
      <c r="D4" t="s">
        <v>27</v>
      </c>
      <c r="E4" s="2">
        <v>324</v>
      </c>
      <c r="F4" s="2">
        <v>104846.25</v>
      </c>
      <c r="G4" t="s">
        <v>76</v>
      </c>
    </row>
    <row r="5" spans="1:7" x14ac:dyDescent="0.25">
      <c r="A5" t="str">
        <f>tbl_Custodian[[#This Row],[Account]] &amp; "-" &amp; tbl_Custodian[[#This Row],[Security]] &amp; "-" &amp; TEXT(tbl_Custodian[[#This Row],[Date]],"yyyymmdd")</f>
        <v>A001-AAPL-20251005</v>
      </c>
      <c r="B5" s="1">
        <v>45935</v>
      </c>
      <c r="C5" t="s">
        <v>40</v>
      </c>
      <c r="D5" t="s">
        <v>25</v>
      </c>
      <c r="E5" s="2">
        <v>368</v>
      </c>
      <c r="F5" s="2">
        <v>122032.52</v>
      </c>
      <c r="G5" t="s">
        <v>116</v>
      </c>
    </row>
    <row r="6" spans="1:7" x14ac:dyDescent="0.25">
      <c r="A6" t="str">
        <f>tbl_Custodian[[#This Row],[Account]] &amp; "-" &amp; tbl_Custodian[[#This Row],[Security]] &amp; "-" &amp; TEXT(tbl_Custodian[[#This Row],[Date]],"yyyymmdd")</f>
        <v>A003-NVDA-20251023</v>
      </c>
      <c r="B6" s="1">
        <v>45953</v>
      </c>
      <c r="C6" t="s">
        <v>6</v>
      </c>
      <c r="D6" t="s">
        <v>7</v>
      </c>
      <c r="E6" s="2">
        <v>288</v>
      </c>
      <c r="F6" s="2">
        <v>105904.83</v>
      </c>
      <c r="G6" t="s">
        <v>42</v>
      </c>
    </row>
    <row r="7" spans="1:7" x14ac:dyDescent="0.25">
      <c r="A7" t="str">
        <f>tbl_Custodian[[#This Row],[Account]] &amp; "-" &amp; tbl_Custodian[[#This Row],[Security]] &amp; "-" &amp; TEXT(tbl_Custodian[[#This Row],[Date]],"yyyymmdd")</f>
        <v>A008-AAPL-20251028</v>
      </c>
      <c r="B7" s="1">
        <v>45958</v>
      </c>
      <c r="C7" t="s">
        <v>12</v>
      </c>
      <c r="D7" t="s">
        <v>25</v>
      </c>
      <c r="E7" s="2">
        <v>265</v>
      </c>
      <c r="F7" s="2">
        <v>128766.49</v>
      </c>
      <c r="G7" t="s">
        <v>26</v>
      </c>
    </row>
    <row r="8" spans="1:7" x14ac:dyDescent="0.25">
      <c r="A8" t="str">
        <f>tbl_Custodian[[#This Row],[Account]] &amp; "-" &amp; tbl_Custodian[[#This Row],[Security]] &amp; "-" &amp; TEXT(tbl_Custodian[[#This Row],[Date]],"yyyymmdd")</f>
        <v>A009-TSLA-20251027</v>
      </c>
      <c r="B8" s="1">
        <v>45957</v>
      </c>
      <c r="C8" t="s">
        <v>9</v>
      </c>
      <c r="D8" t="s">
        <v>29</v>
      </c>
      <c r="E8" s="2">
        <v>281</v>
      </c>
      <c r="F8" s="2">
        <v>100183.03</v>
      </c>
      <c r="G8" t="s">
        <v>48</v>
      </c>
    </row>
    <row r="9" spans="1:7" x14ac:dyDescent="0.25">
      <c r="A9" t="str">
        <f>tbl_Custodian[[#This Row],[Account]] &amp; "-" &amp; tbl_Custodian[[#This Row],[Security]] &amp; "-" &amp; TEXT(tbl_Custodian[[#This Row],[Date]],"yyyymmdd")</f>
        <v>A004-AAPL-20251009</v>
      </c>
      <c r="B9" s="1">
        <v>45939</v>
      </c>
      <c r="C9" t="s">
        <v>45</v>
      </c>
      <c r="D9" t="s">
        <v>25</v>
      </c>
      <c r="E9" s="2">
        <v>195</v>
      </c>
      <c r="F9" s="2">
        <v>24693.22</v>
      </c>
      <c r="G9" t="s">
        <v>111</v>
      </c>
    </row>
    <row r="10" spans="1:7" x14ac:dyDescent="0.25">
      <c r="A10" t="str">
        <f>tbl_Custodian[[#This Row],[Account]] &amp; "-" &amp; tbl_Custodian[[#This Row],[Security]] &amp; "-" &amp; TEXT(tbl_Custodian[[#This Row],[Date]],"yyyymmdd")</f>
        <v>A005-NVDA-20251021</v>
      </c>
      <c r="B10" s="1">
        <v>45951</v>
      </c>
      <c r="C10" t="s">
        <v>15</v>
      </c>
      <c r="D10" t="s">
        <v>7</v>
      </c>
      <c r="E10" s="2">
        <v>59</v>
      </c>
      <c r="F10" s="2">
        <v>10361.469999999999</v>
      </c>
      <c r="G10" t="s">
        <v>106</v>
      </c>
    </row>
    <row r="11" spans="1:7" x14ac:dyDescent="0.25">
      <c r="A11" t="str">
        <f>tbl_Custodian[[#This Row],[Account]] &amp; "-" &amp; tbl_Custodian[[#This Row],[Security]] &amp; "-" &amp; TEXT(tbl_Custodian[[#This Row],[Date]],"yyyymmdd")</f>
        <v>A010-NVDA-20251002</v>
      </c>
      <c r="B11" s="1">
        <v>45932</v>
      </c>
      <c r="C11" t="s">
        <v>20</v>
      </c>
      <c r="D11" t="s">
        <v>7</v>
      </c>
      <c r="E11" s="2">
        <v>223</v>
      </c>
      <c r="F11" s="2">
        <v>75896.03</v>
      </c>
      <c r="G11" t="s">
        <v>71</v>
      </c>
    </row>
    <row r="12" spans="1:7" x14ac:dyDescent="0.25">
      <c r="A12" t="str">
        <f>tbl_Custodian[[#This Row],[Account]] &amp; "-" &amp; tbl_Custodian[[#This Row],[Security]] &amp; "-" &amp; TEXT(tbl_Custodian[[#This Row],[Date]],"yyyymmdd")</f>
        <v>A005-NVDA-20251014</v>
      </c>
      <c r="B12" s="1">
        <v>45944</v>
      </c>
      <c r="C12" t="s">
        <v>15</v>
      </c>
      <c r="D12" t="s">
        <v>7</v>
      </c>
      <c r="E12" s="2">
        <v>153</v>
      </c>
      <c r="F12" s="2">
        <v>61211.14</v>
      </c>
      <c r="G12" t="s">
        <v>64</v>
      </c>
    </row>
    <row r="13" spans="1:7" x14ac:dyDescent="0.25">
      <c r="A13" t="str">
        <f>tbl_Custodian[[#This Row],[Account]] &amp; "-" &amp; tbl_Custodian[[#This Row],[Security]] &amp; "-" &amp; TEXT(tbl_Custodian[[#This Row],[Date]],"yyyymmdd")</f>
        <v>A006-META-20251018</v>
      </c>
      <c r="B13" s="1">
        <v>45948</v>
      </c>
      <c r="C13" t="s">
        <v>37</v>
      </c>
      <c r="D13" t="s">
        <v>13</v>
      </c>
      <c r="E13" s="2">
        <v>232</v>
      </c>
      <c r="F13" s="2">
        <v>55287.62</v>
      </c>
      <c r="G13" t="s">
        <v>121</v>
      </c>
    </row>
    <row r="14" spans="1:7" x14ac:dyDescent="0.25">
      <c r="A14" t="str">
        <f>tbl_Custodian[[#This Row],[Account]] &amp; "-" &amp; tbl_Custodian[[#This Row],[Security]] &amp; "-" &amp; TEXT(tbl_Custodian[[#This Row],[Date]],"yyyymmdd")</f>
        <v>A001-AMZN-20251029</v>
      </c>
      <c r="B14" s="1">
        <v>45959</v>
      </c>
      <c r="C14" t="s">
        <v>40</v>
      </c>
      <c r="D14" t="s">
        <v>23</v>
      </c>
      <c r="E14" s="2">
        <v>123</v>
      </c>
      <c r="F14" s="2">
        <v>21993.31</v>
      </c>
      <c r="G14" t="s">
        <v>102</v>
      </c>
    </row>
    <row r="15" spans="1:7" x14ac:dyDescent="0.25">
      <c r="A15" t="str">
        <f>tbl_Custodian[[#This Row],[Account]] &amp; "-" &amp; tbl_Custodian[[#This Row],[Security]] &amp; "-" &amp; TEXT(tbl_Custodian[[#This Row],[Date]],"yyyymmdd")</f>
        <v>A009-META-20251030</v>
      </c>
      <c r="B15" s="1">
        <v>45960</v>
      </c>
      <c r="C15" t="s">
        <v>9</v>
      </c>
      <c r="D15" t="s">
        <v>13</v>
      </c>
      <c r="E15" s="2">
        <v>392</v>
      </c>
      <c r="F15" s="2">
        <v>105230.6</v>
      </c>
      <c r="G15" t="s">
        <v>86</v>
      </c>
    </row>
    <row r="16" spans="1:7" x14ac:dyDescent="0.25">
      <c r="A16" t="str">
        <f>tbl_Custodian[[#This Row],[Account]] &amp; "-" &amp; tbl_Custodian[[#This Row],[Security]] &amp; "-" &amp; TEXT(tbl_Custodian[[#This Row],[Date]],"yyyymmdd")</f>
        <v>A010-NVDA-20251017</v>
      </c>
      <c r="B16" s="1">
        <v>45947</v>
      </c>
      <c r="C16" t="s">
        <v>20</v>
      </c>
      <c r="D16" t="s">
        <v>7</v>
      </c>
      <c r="E16" s="2">
        <v>66</v>
      </c>
      <c r="F16" s="2">
        <v>30960.273733976901</v>
      </c>
      <c r="G16" t="s">
        <v>96</v>
      </c>
    </row>
    <row r="17" spans="1:7" x14ac:dyDescent="0.25">
      <c r="A17" t="str">
        <f>tbl_Custodian[[#This Row],[Account]] &amp; "-" &amp; tbl_Custodian[[#This Row],[Security]] &amp; "-" &amp; TEXT(tbl_Custodian[[#This Row],[Date]],"yyyymmdd")</f>
        <v>A003-TSLA-20251027</v>
      </c>
      <c r="B17" s="1">
        <v>45957</v>
      </c>
      <c r="C17" t="s">
        <v>6</v>
      </c>
      <c r="D17" t="s">
        <v>29</v>
      </c>
      <c r="E17" s="2">
        <v>329</v>
      </c>
      <c r="F17" s="2">
        <v>54813.279999999999</v>
      </c>
      <c r="G17" t="s">
        <v>93</v>
      </c>
    </row>
    <row r="18" spans="1:7" x14ac:dyDescent="0.25">
      <c r="A18" t="str">
        <f>tbl_Custodian[[#This Row],[Account]] &amp; "-" &amp; tbl_Custodian[[#This Row],[Security]] &amp; "-" &amp; TEXT(tbl_Custodian[[#This Row],[Date]],"yyyymmdd")</f>
        <v>A005-JPM-20251021</v>
      </c>
      <c r="B18" s="1">
        <v>45951</v>
      </c>
      <c r="C18" t="s">
        <v>15</v>
      </c>
      <c r="D18" t="s">
        <v>10</v>
      </c>
      <c r="E18" s="2">
        <v>308</v>
      </c>
      <c r="F18" s="2">
        <v>43044.33</v>
      </c>
      <c r="G18" t="s">
        <v>52</v>
      </c>
    </row>
    <row r="19" spans="1:7" x14ac:dyDescent="0.25">
      <c r="A19" t="str">
        <f>tbl_Custodian[[#This Row],[Account]] &amp; "-" &amp; tbl_Custodian[[#This Row],[Security]] &amp; "-" &amp; TEXT(tbl_Custodian[[#This Row],[Date]],"yyyymmdd")</f>
        <v>A004-MSFT-20251031</v>
      </c>
      <c r="B19" s="1">
        <v>45961</v>
      </c>
      <c r="C19" t="s">
        <v>45</v>
      </c>
      <c r="D19" t="s">
        <v>27</v>
      </c>
      <c r="E19" s="2">
        <v>154</v>
      </c>
      <c r="F19" s="2">
        <v>59290.49</v>
      </c>
      <c r="G19" t="s">
        <v>112</v>
      </c>
    </row>
    <row r="20" spans="1:7" x14ac:dyDescent="0.25">
      <c r="A20" t="str">
        <f>tbl_Custodian[[#This Row],[Account]] &amp; "-" &amp; tbl_Custodian[[#This Row],[Security]] &amp; "-" &amp; TEXT(tbl_Custodian[[#This Row],[Date]],"yyyymmdd")</f>
        <v>A002-META-20251017</v>
      </c>
      <c r="B20" s="1">
        <v>45947</v>
      </c>
      <c r="C20" t="s">
        <v>18</v>
      </c>
      <c r="D20" t="s">
        <v>13</v>
      </c>
      <c r="E20" s="2">
        <v>195</v>
      </c>
      <c r="F20" s="2">
        <v>51249.99</v>
      </c>
      <c r="G20" t="s">
        <v>78</v>
      </c>
    </row>
    <row r="21" spans="1:7" x14ac:dyDescent="0.25">
      <c r="A21" t="str">
        <f>tbl_Custodian[[#This Row],[Account]] &amp; "-" &amp; tbl_Custodian[[#This Row],[Security]] &amp; "-" &amp; TEXT(tbl_Custodian[[#This Row],[Date]],"yyyymmdd")</f>
        <v>A009-NFLX-20251011</v>
      </c>
      <c r="B21" s="1">
        <v>45941</v>
      </c>
      <c r="C21" t="s">
        <v>9</v>
      </c>
      <c r="D21" t="s">
        <v>34</v>
      </c>
      <c r="E21" s="2">
        <v>53</v>
      </c>
      <c r="F21" s="2">
        <v>23412.61</v>
      </c>
      <c r="G21" t="s">
        <v>54</v>
      </c>
    </row>
    <row r="22" spans="1:7" x14ac:dyDescent="0.25">
      <c r="A22" t="str">
        <f>tbl_Custodian[[#This Row],[Account]] &amp; "-" &amp; tbl_Custodian[[#This Row],[Security]] &amp; "-" &amp; TEXT(tbl_Custodian[[#This Row],[Date]],"yyyymmdd")</f>
        <v>A008-AAPL-20251030</v>
      </c>
      <c r="B22" s="1">
        <v>45960</v>
      </c>
      <c r="C22" t="s">
        <v>12</v>
      </c>
      <c r="D22" t="s">
        <v>25</v>
      </c>
      <c r="E22" s="2">
        <v>252</v>
      </c>
      <c r="F22" s="2">
        <v>87905.87</v>
      </c>
      <c r="G22" t="s">
        <v>83</v>
      </c>
    </row>
    <row r="23" spans="1:7" x14ac:dyDescent="0.25">
      <c r="A23" t="str">
        <f>tbl_Custodian[[#This Row],[Account]] &amp; "-" &amp; tbl_Custodian[[#This Row],[Security]] &amp; "-" &amp; TEXT(tbl_Custodian[[#This Row],[Date]],"yyyymmdd")</f>
        <v>A007-GOOGL-20251011</v>
      </c>
      <c r="B23" s="1">
        <v>45941</v>
      </c>
      <c r="C23" t="s">
        <v>22</v>
      </c>
      <c r="D23" t="s">
        <v>32</v>
      </c>
      <c r="E23" s="2">
        <v>208</v>
      </c>
      <c r="F23" s="2">
        <v>66581.67</v>
      </c>
      <c r="G23" t="s">
        <v>95</v>
      </c>
    </row>
    <row r="24" spans="1:7" x14ac:dyDescent="0.25">
      <c r="A24" t="str">
        <f>tbl_Custodian[[#This Row],[Account]] &amp; "-" &amp; tbl_Custodian[[#This Row],[Security]] &amp; "-" &amp; TEXT(tbl_Custodian[[#This Row],[Date]],"yyyymmdd")</f>
        <v>A005-META-20251020</v>
      </c>
      <c r="B24" s="1">
        <v>45950</v>
      </c>
      <c r="C24" t="s">
        <v>15</v>
      </c>
      <c r="D24" t="s">
        <v>13</v>
      </c>
      <c r="E24" s="2">
        <v>181</v>
      </c>
      <c r="F24" s="2">
        <v>87911.52</v>
      </c>
      <c r="G24" t="s">
        <v>53</v>
      </c>
    </row>
    <row r="25" spans="1:7" x14ac:dyDescent="0.25">
      <c r="A25" t="str">
        <f>tbl_Custodian[[#This Row],[Account]] &amp; "-" &amp; tbl_Custodian[[#This Row],[Security]] &amp; "-" &amp; TEXT(tbl_Custodian[[#This Row],[Date]],"yyyymmdd")</f>
        <v>A003-JPM-20251027</v>
      </c>
      <c r="B25" s="1">
        <v>45957</v>
      </c>
      <c r="C25" t="s">
        <v>6</v>
      </c>
      <c r="D25" t="s">
        <v>10</v>
      </c>
      <c r="E25" s="2">
        <v>71</v>
      </c>
      <c r="F25" s="2">
        <v>13162.86</v>
      </c>
      <c r="G25" t="s">
        <v>99</v>
      </c>
    </row>
    <row r="26" spans="1:7" x14ac:dyDescent="0.25">
      <c r="A26" t="str">
        <f>tbl_Custodian[[#This Row],[Account]] &amp; "-" &amp; tbl_Custodian[[#This Row],[Security]] &amp; "-" &amp; TEXT(tbl_Custodian[[#This Row],[Date]],"yyyymmdd")</f>
        <v>A005-BABA-20251005</v>
      </c>
      <c r="B26" s="1">
        <v>45935</v>
      </c>
      <c r="C26" t="s">
        <v>15</v>
      </c>
      <c r="D26" t="s">
        <v>16</v>
      </c>
      <c r="E26" s="2">
        <v>84</v>
      </c>
      <c r="F26" s="2">
        <v>11371.4</v>
      </c>
      <c r="G26" t="s">
        <v>17</v>
      </c>
    </row>
    <row r="27" spans="1:7" x14ac:dyDescent="0.25">
      <c r="A27" t="str">
        <f>tbl_Custodian[[#This Row],[Account]] &amp; "-" &amp; tbl_Custodian[[#This Row],[Security]] &amp; "-" &amp; TEXT(tbl_Custodian[[#This Row],[Date]],"yyyymmdd")</f>
        <v>A005-NVDA-20251008</v>
      </c>
      <c r="B27" s="1">
        <v>45938</v>
      </c>
      <c r="C27" t="s">
        <v>15</v>
      </c>
      <c r="D27" t="s">
        <v>7</v>
      </c>
      <c r="E27" s="2">
        <v>165</v>
      </c>
      <c r="F27" s="2">
        <v>46300.67</v>
      </c>
      <c r="G27" t="s">
        <v>110</v>
      </c>
    </row>
    <row r="28" spans="1:7" x14ac:dyDescent="0.25">
      <c r="A28" t="str">
        <f>tbl_Custodian[[#This Row],[Account]] &amp; "-" &amp; tbl_Custodian[[#This Row],[Security]] &amp; "-" &amp; TEXT(tbl_Custodian[[#This Row],[Date]],"yyyymmdd")</f>
        <v>A001-BABA-20251022</v>
      </c>
      <c r="B28" s="1">
        <v>45952</v>
      </c>
      <c r="C28" t="s">
        <v>40</v>
      </c>
      <c r="D28" t="s">
        <v>16</v>
      </c>
      <c r="E28" s="2">
        <v>140</v>
      </c>
      <c r="F28" s="2">
        <v>62657.78</v>
      </c>
      <c r="G28" t="s">
        <v>124</v>
      </c>
    </row>
    <row r="29" spans="1:7" x14ac:dyDescent="0.25">
      <c r="A29" t="str">
        <f>tbl_Custodian[[#This Row],[Account]] &amp; "-" &amp; tbl_Custodian[[#This Row],[Security]] &amp; "-" &amp; TEXT(tbl_Custodian[[#This Row],[Date]],"yyyymmdd")</f>
        <v>A006-META-20251027</v>
      </c>
      <c r="B29" s="1">
        <v>45957</v>
      </c>
      <c r="C29" t="s">
        <v>37</v>
      </c>
      <c r="D29" t="s">
        <v>13</v>
      </c>
      <c r="E29" s="2">
        <v>90</v>
      </c>
      <c r="F29" s="2">
        <v>29155.93</v>
      </c>
      <c r="G29" t="s">
        <v>38</v>
      </c>
    </row>
    <row r="30" spans="1:7" x14ac:dyDescent="0.25">
      <c r="A30" t="str">
        <f>tbl_Custodian[[#This Row],[Account]] &amp; "-" &amp; tbl_Custodian[[#This Row],[Security]] &amp; "-" &amp; TEXT(tbl_Custodian[[#This Row],[Date]],"yyyymmdd")</f>
        <v>A010-GOOGL-20251004</v>
      </c>
      <c r="B30" s="1">
        <v>45934</v>
      </c>
      <c r="C30" t="s">
        <v>20</v>
      </c>
      <c r="D30" t="s">
        <v>32</v>
      </c>
      <c r="E30" s="2">
        <v>118</v>
      </c>
      <c r="F30" s="2">
        <v>28389.66</v>
      </c>
      <c r="G30" t="s">
        <v>108</v>
      </c>
    </row>
    <row r="31" spans="1:7" x14ac:dyDescent="0.25">
      <c r="A31" t="str">
        <f>tbl_Custodian[[#This Row],[Account]] &amp; "-" &amp; tbl_Custodian[[#This Row],[Security]] &amp; "-" &amp; TEXT(tbl_Custodian[[#This Row],[Date]],"yyyymmdd")</f>
        <v>A004-AMZN-20251001</v>
      </c>
      <c r="B31" s="1">
        <v>45931</v>
      </c>
      <c r="C31" t="s">
        <v>45</v>
      </c>
      <c r="D31" t="s">
        <v>23</v>
      </c>
      <c r="E31" s="2">
        <v>277</v>
      </c>
      <c r="F31" s="2">
        <v>68579.41</v>
      </c>
      <c r="G31" t="s">
        <v>46</v>
      </c>
    </row>
    <row r="32" spans="1:7" x14ac:dyDescent="0.25">
      <c r="A32" t="str">
        <f>tbl_Custodian[[#This Row],[Account]] &amp; "-" &amp; tbl_Custodian[[#This Row],[Security]] &amp; "-" &amp; TEXT(tbl_Custodian[[#This Row],[Date]],"yyyymmdd")</f>
        <v>A003-TSLA-20251029</v>
      </c>
      <c r="B32" s="1">
        <v>45959</v>
      </c>
      <c r="C32" t="s">
        <v>6</v>
      </c>
      <c r="D32" t="s">
        <v>29</v>
      </c>
      <c r="E32" s="2">
        <v>329</v>
      </c>
      <c r="F32" s="2">
        <v>132259.07</v>
      </c>
      <c r="G32" t="s">
        <v>30</v>
      </c>
    </row>
    <row r="33" spans="1:7" x14ac:dyDescent="0.25">
      <c r="A33" t="str">
        <f>tbl_Custodian[[#This Row],[Account]] &amp; "-" &amp; tbl_Custodian[[#This Row],[Security]] &amp; "-" &amp; TEXT(tbl_Custodian[[#This Row],[Date]],"yyyymmdd")</f>
        <v>A005-AMZN-20251002</v>
      </c>
      <c r="B33" s="1">
        <v>45932</v>
      </c>
      <c r="C33" t="s">
        <v>15</v>
      </c>
      <c r="D33" t="s">
        <v>23</v>
      </c>
      <c r="E33" s="2">
        <v>140</v>
      </c>
      <c r="F33" s="2">
        <v>24421.1</v>
      </c>
      <c r="G33" t="s">
        <v>73</v>
      </c>
    </row>
    <row r="34" spans="1:7" x14ac:dyDescent="0.25">
      <c r="A34" t="str">
        <f>tbl_Custodian[[#This Row],[Account]] &amp; "-" &amp; tbl_Custodian[[#This Row],[Security]] &amp; "-" &amp; TEXT(tbl_Custodian[[#This Row],[Date]],"yyyymmdd")</f>
        <v>A006-AMZN-20251008</v>
      </c>
      <c r="B34" s="1">
        <v>45938</v>
      </c>
      <c r="C34" t="s">
        <v>37</v>
      </c>
      <c r="D34" t="s">
        <v>23</v>
      </c>
      <c r="E34" s="2">
        <v>342</v>
      </c>
      <c r="F34" s="2">
        <v>99738.03</v>
      </c>
      <c r="G34" t="s">
        <v>57</v>
      </c>
    </row>
    <row r="35" spans="1:7" x14ac:dyDescent="0.25">
      <c r="A35" t="str">
        <f>tbl_Custodian[[#This Row],[Account]] &amp; "-" &amp; tbl_Custodian[[#This Row],[Security]] &amp; "-" &amp; TEXT(tbl_Custodian[[#This Row],[Date]],"yyyymmdd")</f>
        <v>A005-GOOGL-20251005</v>
      </c>
      <c r="B35" s="1">
        <v>45935</v>
      </c>
      <c r="C35" t="s">
        <v>15</v>
      </c>
      <c r="D35" t="s">
        <v>32</v>
      </c>
      <c r="E35" s="2">
        <v>319</v>
      </c>
      <c r="F35" s="2">
        <v>54674.79</v>
      </c>
      <c r="G35" t="s">
        <v>72</v>
      </c>
    </row>
    <row r="36" spans="1:7" x14ac:dyDescent="0.25">
      <c r="A36" t="str">
        <f>tbl_Custodian[[#This Row],[Account]] &amp; "-" &amp; tbl_Custodian[[#This Row],[Security]] &amp; "-" &amp; TEXT(tbl_Custodian[[#This Row],[Date]],"yyyymmdd")</f>
        <v>A010-BABA-20251018</v>
      </c>
      <c r="B36" s="1">
        <v>45948</v>
      </c>
      <c r="C36" t="s">
        <v>20</v>
      </c>
      <c r="D36" t="s">
        <v>16</v>
      </c>
      <c r="E36" s="2">
        <v>73</v>
      </c>
      <c r="F36" s="2">
        <v>12030.2</v>
      </c>
      <c r="G36" t="s">
        <v>21</v>
      </c>
    </row>
    <row r="37" spans="1:7" x14ac:dyDescent="0.25">
      <c r="A37" t="str">
        <f>tbl_Custodian[[#This Row],[Account]] &amp; "-" &amp; tbl_Custodian[[#This Row],[Security]] &amp; "-" &amp; TEXT(tbl_Custodian[[#This Row],[Date]],"yyyymmdd")</f>
        <v>A010-META-20251004</v>
      </c>
      <c r="B37" s="1">
        <v>45934</v>
      </c>
      <c r="C37" t="s">
        <v>20</v>
      </c>
      <c r="D37" t="s">
        <v>13</v>
      </c>
      <c r="E37" s="2">
        <v>329</v>
      </c>
      <c r="F37" s="2">
        <v>159900.10999999999</v>
      </c>
      <c r="G37" t="s">
        <v>67</v>
      </c>
    </row>
    <row r="38" spans="1:7" x14ac:dyDescent="0.25">
      <c r="A38" t="str">
        <f>tbl_Custodian[[#This Row],[Account]] &amp; "-" &amp; tbl_Custodian[[#This Row],[Security]] &amp; "-" &amp; TEXT(tbl_Custodian[[#This Row],[Date]],"yyyymmdd")</f>
        <v>A004-NVDA-20251027</v>
      </c>
      <c r="B38" s="1">
        <v>45957</v>
      </c>
      <c r="C38" t="s">
        <v>45</v>
      </c>
      <c r="D38" t="s">
        <v>7</v>
      </c>
      <c r="E38" s="2">
        <v>498</v>
      </c>
      <c r="F38" s="2">
        <v>147931.21</v>
      </c>
      <c r="G38" t="s">
        <v>92</v>
      </c>
    </row>
    <row r="39" spans="1:7" x14ac:dyDescent="0.25">
      <c r="A39" t="str">
        <f>tbl_Custodian[[#This Row],[Account]] &amp; "-" &amp; tbl_Custodian[[#This Row],[Security]] &amp; "-" &amp; TEXT(tbl_Custodian[[#This Row],[Date]],"yyyymmdd")</f>
        <v>A009-JPM-20251004</v>
      </c>
      <c r="B39" s="1">
        <v>45934</v>
      </c>
      <c r="C39" t="s">
        <v>9</v>
      </c>
      <c r="D39" t="s">
        <v>10</v>
      </c>
      <c r="E39" s="2">
        <v>392</v>
      </c>
      <c r="F39" s="2">
        <v>53657.1</v>
      </c>
      <c r="G39" t="s">
        <v>11</v>
      </c>
    </row>
    <row r="40" spans="1:7" x14ac:dyDescent="0.25">
      <c r="A40" t="str">
        <f>tbl_Custodian[[#This Row],[Account]] &amp; "-" &amp; tbl_Custodian[[#This Row],[Security]] &amp; "-" &amp; TEXT(tbl_Custodian[[#This Row],[Date]],"yyyymmdd")</f>
        <v>A002-META-20251015</v>
      </c>
      <c r="B40" s="1">
        <v>45945</v>
      </c>
      <c r="C40" t="s">
        <v>18</v>
      </c>
      <c r="D40" t="s">
        <v>13</v>
      </c>
      <c r="E40" s="2">
        <v>96</v>
      </c>
      <c r="F40" s="2">
        <v>9058.73</v>
      </c>
      <c r="G40" t="s">
        <v>62</v>
      </c>
    </row>
    <row r="41" spans="1:7" x14ac:dyDescent="0.25">
      <c r="A41" t="str">
        <f>tbl_Custodian[[#This Row],[Account]] &amp; "-" &amp; tbl_Custodian[[#This Row],[Security]] &amp; "-" &amp; TEXT(tbl_Custodian[[#This Row],[Date]],"yyyymmdd")</f>
        <v>A006-TSLA-20251031</v>
      </c>
      <c r="B41" s="1">
        <v>45961</v>
      </c>
      <c r="C41" t="s">
        <v>37</v>
      </c>
      <c r="D41" t="s">
        <v>29</v>
      </c>
      <c r="E41" s="2">
        <v>73</v>
      </c>
      <c r="F41" s="2">
        <v>21242.69</v>
      </c>
      <c r="G41" t="s">
        <v>100</v>
      </c>
    </row>
    <row r="42" spans="1:7" x14ac:dyDescent="0.25">
      <c r="A42" t="str">
        <f>tbl_Custodian[[#This Row],[Account]] &amp; "-" &amp; tbl_Custodian[[#This Row],[Security]] &amp; "-" &amp; TEXT(tbl_Custodian[[#This Row],[Date]],"yyyymmdd")</f>
        <v>A003-NVDA-20251021</v>
      </c>
      <c r="B42" s="1">
        <v>45951</v>
      </c>
      <c r="C42" t="s">
        <v>6</v>
      </c>
      <c r="D42" t="s">
        <v>7</v>
      </c>
      <c r="E42" s="2">
        <v>91</v>
      </c>
      <c r="F42" s="2">
        <v>28595.020657170899</v>
      </c>
      <c r="G42" t="s">
        <v>90</v>
      </c>
    </row>
    <row r="43" spans="1:7" x14ac:dyDescent="0.25">
      <c r="A43" t="str">
        <f>tbl_Custodian[[#This Row],[Account]] &amp; "-" &amp; tbl_Custodian[[#This Row],[Security]] &amp; "-" &amp; TEXT(tbl_Custodian[[#This Row],[Date]],"yyyymmdd")</f>
        <v>A002-META-20251006</v>
      </c>
      <c r="B43" s="1">
        <v>45936</v>
      </c>
      <c r="C43" t="s">
        <v>18</v>
      </c>
      <c r="D43" t="s">
        <v>13</v>
      </c>
      <c r="E43" s="2">
        <v>102</v>
      </c>
      <c r="F43" s="2">
        <v>20737.53</v>
      </c>
      <c r="G43" t="s">
        <v>119</v>
      </c>
    </row>
    <row r="44" spans="1:7" x14ac:dyDescent="0.25">
      <c r="A44" t="str">
        <f>tbl_Custodian[[#This Row],[Account]] &amp; "-" &amp; tbl_Custodian[[#This Row],[Security]] &amp; "-" &amp; TEXT(tbl_Custodian[[#This Row],[Date]],"yyyymmdd")</f>
        <v>A009-GOOGL-20251009</v>
      </c>
      <c r="B44" s="1">
        <v>45939</v>
      </c>
      <c r="C44" t="s">
        <v>9</v>
      </c>
      <c r="D44" t="s">
        <v>32</v>
      </c>
      <c r="E44" s="2">
        <v>326</v>
      </c>
      <c r="F44" s="2">
        <v>120209.51</v>
      </c>
      <c r="G44" t="s">
        <v>39</v>
      </c>
    </row>
    <row r="45" spans="1:7" x14ac:dyDescent="0.25">
      <c r="A45" t="str">
        <f>tbl_Custodian[[#This Row],[Account]] &amp; "-" &amp; tbl_Custodian[[#This Row],[Security]] &amp; "-" &amp; TEXT(tbl_Custodian[[#This Row],[Date]],"yyyymmdd")</f>
        <v>A006-BABA-20251022</v>
      </c>
      <c r="B45" s="1">
        <v>45952</v>
      </c>
      <c r="C45" t="s">
        <v>37</v>
      </c>
      <c r="D45" t="s">
        <v>16</v>
      </c>
      <c r="E45" s="2">
        <v>300</v>
      </c>
      <c r="F45" s="2">
        <v>113453.18</v>
      </c>
      <c r="G45" t="s">
        <v>113</v>
      </c>
    </row>
    <row r="46" spans="1:7" x14ac:dyDescent="0.25">
      <c r="A46" t="str">
        <f>tbl_Custodian[[#This Row],[Account]] &amp; "-" &amp; tbl_Custodian[[#This Row],[Security]] &amp; "-" &amp; TEXT(tbl_Custodian[[#This Row],[Date]],"yyyymmdd")</f>
        <v>A008-AAPL-20251026</v>
      </c>
      <c r="B46" s="1">
        <v>45956</v>
      </c>
      <c r="C46" t="s">
        <v>12</v>
      </c>
      <c r="D46" t="s">
        <v>25</v>
      </c>
      <c r="E46" s="2">
        <v>475</v>
      </c>
      <c r="F46" s="2">
        <v>125147.37</v>
      </c>
      <c r="G46" t="s">
        <v>91</v>
      </c>
    </row>
    <row r="47" spans="1:7" x14ac:dyDescent="0.25">
      <c r="A47" t="str">
        <f>tbl_Custodian[[#This Row],[Account]] &amp; "-" &amp; tbl_Custodian[[#This Row],[Security]] &amp; "-" &amp; TEXT(tbl_Custodian[[#This Row],[Date]],"yyyymmdd")</f>
        <v>A010-MSFT-20251029</v>
      </c>
      <c r="B47" s="1">
        <v>45959</v>
      </c>
      <c r="C47" t="s">
        <v>20</v>
      </c>
      <c r="D47" t="s">
        <v>27</v>
      </c>
      <c r="E47" s="2">
        <v>377</v>
      </c>
      <c r="F47" s="2">
        <v>52014.21</v>
      </c>
      <c r="G47" t="s">
        <v>55</v>
      </c>
    </row>
    <row r="48" spans="1:7" x14ac:dyDescent="0.25">
      <c r="A48" t="str">
        <f>tbl_Custodian[[#This Row],[Account]] &amp; "-" &amp; tbl_Custodian[[#This Row],[Security]] &amp; "-" &amp; TEXT(tbl_Custodian[[#This Row],[Date]],"yyyymmdd")</f>
        <v>A005-NVDA-20251015</v>
      </c>
      <c r="B48" s="1">
        <v>45945</v>
      </c>
      <c r="C48" t="s">
        <v>15</v>
      </c>
      <c r="D48" t="s">
        <v>7</v>
      </c>
      <c r="E48" s="2">
        <v>319</v>
      </c>
      <c r="F48" s="2">
        <v>125642.88</v>
      </c>
      <c r="G48" t="s">
        <v>63</v>
      </c>
    </row>
    <row r="49" spans="1:7" x14ac:dyDescent="0.25">
      <c r="A49" t="str">
        <f>tbl_Custodian[[#This Row],[Account]] &amp; "-" &amp; tbl_Custodian[[#This Row],[Security]] &amp; "-" &amp; TEXT(tbl_Custodian[[#This Row],[Date]],"yyyymmdd")</f>
        <v>A001-BABA-20251005</v>
      </c>
      <c r="B49" s="1">
        <v>45935</v>
      </c>
      <c r="C49" t="s">
        <v>40</v>
      </c>
      <c r="D49" t="s">
        <v>16</v>
      </c>
      <c r="E49" s="2">
        <v>170</v>
      </c>
      <c r="F49" s="2">
        <v>34416.47</v>
      </c>
      <c r="G49" t="s">
        <v>43</v>
      </c>
    </row>
    <row r="50" spans="1:7" x14ac:dyDescent="0.25">
      <c r="A50" t="str">
        <f>tbl_Custodian[[#This Row],[Account]] &amp; "-" &amp; tbl_Custodian[[#This Row],[Security]] &amp; "-" &amp; TEXT(tbl_Custodian[[#This Row],[Date]],"yyyymmdd")</f>
        <v>A006-GOOGL-20251002</v>
      </c>
      <c r="B50" s="1">
        <v>45932</v>
      </c>
      <c r="C50" t="s">
        <v>37</v>
      </c>
      <c r="D50" t="s">
        <v>32</v>
      </c>
      <c r="E50" s="2">
        <v>266</v>
      </c>
      <c r="F50" s="2">
        <v>40024.97</v>
      </c>
      <c r="G50" t="s">
        <v>61</v>
      </c>
    </row>
    <row r="51" spans="1:7" x14ac:dyDescent="0.25">
      <c r="A51" t="str">
        <f>tbl_Custodian[[#This Row],[Account]] &amp; "-" &amp; tbl_Custodian[[#This Row],[Security]] &amp; "-" &amp; TEXT(tbl_Custodian[[#This Row],[Date]],"yyyymmdd")</f>
        <v>A005-BABA-20251026</v>
      </c>
      <c r="B51" s="1">
        <v>45956</v>
      </c>
      <c r="C51" t="s">
        <v>15</v>
      </c>
      <c r="D51" t="s">
        <v>16</v>
      </c>
      <c r="E51" s="2">
        <v>498</v>
      </c>
      <c r="F51" s="2">
        <v>66488.899999999994</v>
      </c>
      <c r="G51" t="s">
        <v>59</v>
      </c>
    </row>
    <row r="52" spans="1:7" x14ac:dyDescent="0.25">
      <c r="A52" t="str">
        <f>tbl_Custodian[[#This Row],[Account]] &amp; "-" &amp; tbl_Custodian[[#This Row],[Security]] &amp; "-" &amp; TEXT(tbl_Custodian[[#This Row],[Date]],"yyyymmdd")</f>
        <v>A001-BABA-20251017</v>
      </c>
      <c r="B52" s="1">
        <v>45947</v>
      </c>
      <c r="C52" t="s">
        <v>40</v>
      </c>
      <c r="D52" t="s">
        <v>16</v>
      </c>
      <c r="E52" s="2">
        <v>174</v>
      </c>
      <c r="F52" s="2">
        <v>69675.67</v>
      </c>
      <c r="G52" t="s">
        <v>88</v>
      </c>
    </row>
    <row r="53" spans="1:7" x14ac:dyDescent="0.25">
      <c r="A53" t="str">
        <f>tbl_Custodian[[#This Row],[Account]] &amp; "-" &amp; tbl_Custodian[[#This Row],[Security]] &amp; "-" &amp; TEXT(tbl_Custodian[[#This Row],[Date]],"yyyymmdd")</f>
        <v>A003-NVDA-20251015</v>
      </c>
      <c r="B53" s="1">
        <v>45945</v>
      </c>
      <c r="C53" t="s">
        <v>6</v>
      </c>
      <c r="D53" t="s">
        <v>7</v>
      </c>
      <c r="E53" s="2">
        <v>272</v>
      </c>
      <c r="F53" s="2">
        <v>78768.44</v>
      </c>
      <c r="G53" t="s">
        <v>8</v>
      </c>
    </row>
    <row r="54" spans="1:7" x14ac:dyDescent="0.25">
      <c r="A54" t="str">
        <f>tbl_Custodian[[#This Row],[Account]] &amp; "-" &amp; tbl_Custodian[[#This Row],[Security]] &amp; "-" &amp; TEXT(tbl_Custodian[[#This Row],[Date]],"yyyymmdd")</f>
        <v>A004-NVDA-20251030</v>
      </c>
      <c r="B54" s="1">
        <v>45960</v>
      </c>
      <c r="C54" t="s">
        <v>45</v>
      </c>
      <c r="D54" t="s">
        <v>7</v>
      </c>
      <c r="E54" s="2">
        <v>414</v>
      </c>
      <c r="F54" s="2">
        <v>100515.59</v>
      </c>
      <c r="G54" t="s">
        <v>103</v>
      </c>
    </row>
    <row r="55" spans="1:7" x14ac:dyDescent="0.25">
      <c r="A55" t="str">
        <f>tbl_Custodian[[#This Row],[Account]] &amp; "-" &amp; tbl_Custodian[[#This Row],[Security]] &amp; "-" &amp; TEXT(tbl_Custodian[[#This Row],[Date]],"yyyymmdd")</f>
        <v>A002-JPM-20251019</v>
      </c>
      <c r="B55" s="1">
        <v>45949</v>
      </c>
      <c r="C55" t="s">
        <v>18</v>
      </c>
      <c r="D55" t="s">
        <v>10</v>
      </c>
      <c r="E55" s="2">
        <v>255</v>
      </c>
      <c r="F55" s="2">
        <v>89373.29</v>
      </c>
      <c r="G55" t="s">
        <v>85</v>
      </c>
    </row>
    <row r="56" spans="1:7" x14ac:dyDescent="0.25">
      <c r="A56" t="str">
        <f>tbl_Custodian[[#This Row],[Account]] &amp; "-" &amp; tbl_Custodian[[#This Row],[Security]] &amp; "-" &amp; TEXT(tbl_Custodian[[#This Row],[Date]],"yyyymmdd")</f>
        <v>A003-NVDA-20251018</v>
      </c>
      <c r="B56" s="1">
        <v>45948</v>
      </c>
      <c r="C56" t="s">
        <v>6</v>
      </c>
      <c r="D56" t="s">
        <v>7</v>
      </c>
      <c r="E56" s="2">
        <v>249</v>
      </c>
      <c r="F56" s="2">
        <v>54045.449399229401</v>
      </c>
      <c r="G56" t="s">
        <v>31</v>
      </c>
    </row>
    <row r="57" spans="1:7" x14ac:dyDescent="0.25">
      <c r="A57" t="str">
        <f>tbl_Custodian[[#This Row],[Account]] &amp; "-" &amp; tbl_Custodian[[#This Row],[Security]] &amp; "-" &amp; TEXT(tbl_Custodian[[#This Row],[Date]],"yyyymmdd")</f>
        <v>A001-AMZN-20251015</v>
      </c>
      <c r="B57" s="1">
        <v>45945</v>
      </c>
      <c r="C57" t="s">
        <v>40</v>
      </c>
      <c r="D57" t="s">
        <v>23</v>
      </c>
      <c r="E57" s="2">
        <v>350</v>
      </c>
      <c r="F57" s="2">
        <v>162259.97</v>
      </c>
      <c r="G57" t="s">
        <v>79</v>
      </c>
    </row>
    <row r="58" spans="1:7" x14ac:dyDescent="0.25">
      <c r="A58" t="str">
        <f>tbl_Custodian[[#This Row],[Account]] &amp; "-" &amp; tbl_Custodian[[#This Row],[Security]] &amp; "-" &amp; TEXT(tbl_Custodian[[#This Row],[Date]],"yyyymmdd")</f>
        <v>A006-JPM-20251023</v>
      </c>
      <c r="B58" s="1">
        <v>45953</v>
      </c>
      <c r="C58" t="s">
        <v>37</v>
      </c>
      <c r="D58" t="s">
        <v>10</v>
      </c>
      <c r="E58" s="2">
        <v>427</v>
      </c>
      <c r="F58" s="2">
        <v>85040.67</v>
      </c>
      <c r="G58" t="s">
        <v>109</v>
      </c>
    </row>
    <row r="59" spans="1:7" x14ac:dyDescent="0.25">
      <c r="A59" t="str">
        <f>tbl_Custodian[[#This Row],[Account]] &amp; "-" &amp; tbl_Custodian[[#This Row],[Security]] &amp; "-" &amp; TEXT(tbl_Custodian[[#This Row],[Date]],"yyyymmdd")</f>
        <v>A007-TSLA-20251008</v>
      </c>
      <c r="B59" s="1">
        <v>45938</v>
      </c>
      <c r="C59" t="s">
        <v>22</v>
      </c>
      <c r="D59" t="s">
        <v>29</v>
      </c>
      <c r="E59" s="2">
        <v>242</v>
      </c>
      <c r="F59" s="2">
        <v>102176.26</v>
      </c>
      <c r="G59" t="s">
        <v>50</v>
      </c>
    </row>
    <row r="60" spans="1:7" x14ac:dyDescent="0.25">
      <c r="A60" t="str">
        <f>tbl_Custodian[[#This Row],[Account]] &amp; "-" &amp; tbl_Custodian[[#This Row],[Security]] &amp; "-" &amp; TEXT(tbl_Custodian[[#This Row],[Date]],"yyyymmdd")</f>
        <v>A001-MSFT-20251024</v>
      </c>
      <c r="B60" s="1">
        <v>45954</v>
      </c>
      <c r="C60" t="s">
        <v>40</v>
      </c>
      <c r="D60" t="s">
        <v>27</v>
      </c>
      <c r="E60" s="2">
        <v>473</v>
      </c>
      <c r="F60" s="2">
        <v>105795.84</v>
      </c>
      <c r="G60" t="s">
        <v>41</v>
      </c>
    </row>
    <row r="61" spans="1:7" x14ac:dyDescent="0.25">
      <c r="A61" t="str">
        <f>tbl_Custodian[[#This Row],[Account]] &amp; "-" &amp; tbl_Custodian[[#This Row],[Security]] &amp; "-" &amp; TEXT(tbl_Custodian[[#This Row],[Date]],"yyyymmdd")</f>
        <v>A009-TSLA-20251004</v>
      </c>
      <c r="B61" s="1">
        <v>45934</v>
      </c>
      <c r="C61" t="s">
        <v>9</v>
      </c>
      <c r="D61" t="s">
        <v>29</v>
      </c>
      <c r="E61" s="2">
        <v>142</v>
      </c>
      <c r="F61" s="2">
        <v>27414.16</v>
      </c>
      <c r="G61" t="s">
        <v>68</v>
      </c>
    </row>
    <row r="62" spans="1:7" x14ac:dyDescent="0.25">
      <c r="A62" t="str">
        <f>tbl_Custodian[[#This Row],[Account]] &amp; "-" &amp; tbl_Custodian[[#This Row],[Security]] &amp; "-" &amp; TEXT(tbl_Custodian[[#This Row],[Date]],"yyyymmdd")</f>
        <v>A001-META-20251002</v>
      </c>
      <c r="B62" s="1">
        <v>45932</v>
      </c>
      <c r="C62" t="s">
        <v>40</v>
      </c>
      <c r="D62" t="s">
        <v>13</v>
      </c>
      <c r="E62" s="2">
        <v>388</v>
      </c>
      <c r="F62" s="2">
        <v>96446.41</v>
      </c>
      <c r="G62" t="s">
        <v>81</v>
      </c>
    </row>
    <row r="63" spans="1:7" x14ac:dyDescent="0.25">
      <c r="A63" t="str">
        <f>tbl_Custodian[[#This Row],[Account]] &amp; "-" &amp; tbl_Custodian[[#This Row],[Security]] &amp; "-" &amp; TEXT(tbl_Custodian[[#This Row],[Date]],"yyyymmdd")</f>
        <v>A009-BABA-20251020</v>
      </c>
      <c r="B63" s="1">
        <v>45950</v>
      </c>
      <c r="C63" t="s">
        <v>9</v>
      </c>
      <c r="D63" t="s">
        <v>16</v>
      </c>
      <c r="E63" s="2">
        <v>481</v>
      </c>
      <c r="F63" s="2">
        <v>223048.83</v>
      </c>
      <c r="G63" t="s">
        <v>94</v>
      </c>
    </row>
    <row r="64" spans="1:7" x14ac:dyDescent="0.25">
      <c r="A64" t="str">
        <f>tbl_Custodian[[#This Row],[Account]] &amp; "-" &amp; tbl_Custodian[[#This Row],[Security]] &amp; "-" &amp; TEXT(tbl_Custodian[[#This Row],[Date]],"yyyymmdd")</f>
        <v>A003-META-20251011</v>
      </c>
      <c r="B64" s="1">
        <v>45941</v>
      </c>
      <c r="C64" t="s">
        <v>6</v>
      </c>
      <c r="D64" t="s">
        <v>13</v>
      </c>
      <c r="E64" s="2">
        <v>396</v>
      </c>
      <c r="F64" s="2">
        <v>85599.76</v>
      </c>
      <c r="G64" t="s">
        <v>47</v>
      </c>
    </row>
    <row r="65" spans="1:7" x14ac:dyDescent="0.25">
      <c r="A65" t="str">
        <f>tbl_Custodian[[#This Row],[Account]] &amp; "-" &amp; tbl_Custodian[[#This Row],[Security]] &amp; "-" &amp; TEXT(tbl_Custodian[[#This Row],[Date]],"yyyymmdd")</f>
        <v>A007-GOOGL-20251010</v>
      </c>
      <c r="B65" s="1">
        <v>45940</v>
      </c>
      <c r="C65" t="s">
        <v>22</v>
      </c>
      <c r="D65" t="s">
        <v>32</v>
      </c>
      <c r="E65" s="2">
        <v>67</v>
      </c>
      <c r="F65" s="2">
        <v>20285.32</v>
      </c>
      <c r="G65" t="s">
        <v>87</v>
      </c>
    </row>
    <row r="66" spans="1:7" x14ac:dyDescent="0.25">
      <c r="A66" t="str">
        <f>tbl_Custodian[[#This Row],[Account]] &amp; "-" &amp; tbl_Custodian[[#This Row],[Security]] &amp; "-" &amp; TEXT(tbl_Custodian[[#This Row],[Date]],"yyyymmdd")</f>
        <v>A010-AMZN-20251020</v>
      </c>
      <c r="B66" s="1">
        <v>45950</v>
      </c>
      <c r="C66" t="s">
        <v>20</v>
      </c>
      <c r="D66" t="s">
        <v>23</v>
      </c>
      <c r="E66" s="2">
        <v>140</v>
      </c>
      <c r="F66" s="2">
        <v>18036.990000000002</v>
      </c>
      <c r="G66" t="s">
        <v>114</v>
      </c>
    </row>
    <row r="67" spans="1:7" x14ac:dyDescent="0.25">
      <c r="A67" t="str">
        <f>tbl_Custodian[[#This Row],[Account]] &amp; "-" &amp; tbl_Custodian[[#This Row],[Security]] &amp; "-" &amp; TEXT(tbl_Custodian[[#This Row],[Date]],"yyyymmdd")</f>
        <v>A008-META-20251030</v>
      </c>
      <c r="B67" s="1">
        <v>45960</v>
      </c>
      <c r="C67" t="s">
        <v>12</v>
      </c>
      <c r="D67" t="s">
        <v>13</v>
      </c>
      <c r="E67" s="2">
        <v>463</v>
      </c>
      <c r="F67" s="2">
        <v>147338.91</v>
      </c>
      <c r="G67" t="s">
        <v>60</v>
      </c>
    </row>
    <row r="68" spans="1:7" x14ac:dyDescent="0.25">
      <c r="A68" t="str">
        <f>tbl_Custodian[[#This Row],[Account]] &amp; "-" &amp; tbl_Custodian[[#This Row],[Security]] &amp; "-" &amp; TEXT(tbl_Custodian[[#This Row],[Date]],"yyyymmdd")</f>
        <v>A006-NVDA-20251008</v>
      </c>
      <c r="B68" s="1">
        <v>45938</v>
      </c>
      <c r="C68" t="s">
        <v>37</v>
      </c>
      <c r="D68" t="s">
        <v>7</v>
      </c>
      <c r="E68" s="2">
        <v>452</v>
      </c>
      <c r="F68" s="2">
        <v>68499.350000000006</v>
      </c>
      <c r="G68" t="s">
        <v>104</v>
      </c>
    </row>
    <row r="69" spans="1:7" x14ac:dyDescent="0.25">
      <c r="A69" t="str">
        <f>tbl_Custodian[[#This Row],[Account]] &amp; "-" &amp; tbl_Custodian[[#This Row],[Security]] &amp; "-" &amp; TEXT(tbl_Custodian[[#This Row],[Date]],"yyyymmdd")</f>
        <v>A002-META-20251016</v>
      </c>
      <c r="B69" s="1">
        <v>45946</v>
      </c>
      <c r="C69" t="s">
        <v>18</v>
      </c>
      <c r="D69" t="s">
        <v>13</v>
      </c>
      <c r="E69" s="2">
        <v>83</v>
      </c>
      <c r="F69" s="2">
        <v>38215.379999999997</v>
      </c>
      <c r="G69" t="s">
        <v>19</v>
      </c>
    </row>
    <row r="70" spans="1:7" x14ac:dyDescent="0.25">
      <c r="A70" t="str">
        <f>tbl_Custodian[[#This Row],[Account]] &amp; "-" &amp; tbl_Custodian[[#This Row],[Security]] &amp; "-" &amp; TEXT(tbl_Custodian[[#This Row],[Date]],"yyyymmdd")</f>
        <v>A004-AMZN-20251002</v>
      </c>
      <c r="B70" s="1">
        <v>45932</v>
      </c>
      <c r="C70" t="s">
        <v>45</v>
      </c>
      <c r="D70" t="s">
        <v>23</v>
      </c>
      <c r="E70" s="2">
        <v>474</v>
      </c>
      <c r="F70" s="2">
        <v>64335.93</v>
      </c>
      <c r="G70" t="s">
        <v>89</v>
      </c>
    </row>
    <row r="71" spans="1:7" x14ac:dyDescent="0.25">
      <c r="A71" t="str">
        <f>tbl_Custodian[[#This Row],[Account]] &amp; "-" &amp; tbl_Custodian[[#This Row],[Security]] &amp; "-" &amp; TEXT(tbl_Custodian[[#This Row],[Date]],"yyyymmdd")</f>
        <v>A002-GOOGL-20251029</v>
      </c>
      <c r="B71" s="1">
        <v>45959</v>
      </c>
      <c r="C71" t="s">
        <v>18</v>
      </c>
      <c r="D71" t="s">
        <v>32</v>
      </c>
      <c r="E71" s="2">
        <v>129</v>
      </c>
      <c r="F71" s="2">
        <v>58130.86</v>
      </c>
      <c r="G71" t="s">
        <v>56</v>
      </c>
    </row>
    <row r="72" spans="1:7" x14ac:dyDescent="0.25">
      <c r="A72" t="str">
        <f>tbl_Custodian[[#This Row],[Account]] &amp; "-" &amp; tbl_Custodian[[#This Row],[Security]] &amp; "-" &amp; TEXT(tbl_Custodian[[#This Row],[Date]],"yyyymmdd")</f>
        <v>A010-GOOGL-20251016</v>
      </c>
      <c r="B72" s="1">
        <v>45946</v>
      </c>
      <c r="C72" t="s">
        <v>20</v>
      </c>
      <c r="D72" t="s">
        <v>32</v>
      </c>
      <c r="E72" s="2">
        <v>383</v>
      </c>
      <c r="F72" s="2">
        <v>91763.28</v>
      </c>
      <c r="G72" t="s">
        <v>33</v>
      </c>
    </row>
    <row r="73" spans="1:7" x14ac:dyDescent="0.25">
      <c r="A73" t="str">
        <f>tbl_Custodian[[#This Row],[Account]] &amp; "-" &amp; tbl_Custodian[[#This Row],[Security]] &amp; "-" &amp; TEXT(tbl_Custodian[[#This Row],[Date]],"yyyymmdd")</f>
        <v>A004-NVDA-20251022</v>
      </c>
      <c r="B73" s="1">
        <v>45952</v>
      </c>
      <c r="C73" t="s">
        <v>45</v>
      </c>
      <c r="D73" t="s">
        <v>7</v>
      </c>
      <c r="E73" s="2">
        <v>423</v>
      </c>
      <c r="F73" s="2">
        <v>76880.800000000003</v>
      </c>
      <c r="G73" t="s">
        <v>118</v>
      </c>
    </row>
    <row r="74" spans="1:7" x14ac:dyDescent="0.25">
      <c r="A74" t="str">
        <f>tbl_Custodian[[#This Row],[Account]] &amp; "-" &amp; tbl_Custodian[[#This Row],[Security]] &amp; "-" &amp; TEXT(tbl_Custodian[[#This Row],[Date]],"yyyymmdd")</f>
        <v>A009-BABA-20251008</v>
      </c>
      <c r="B74" s="1">
        <v>45938</v>
      </c>
      <c r="C74" t="s">
        <v>9</v>
      </c>
      <c r="D74" t="s">
        <v>16</v>
      </c>
      <c r="E74" s="2">
        <v>67</v>
      </c>
      <c r="F74" s="2">
        <v>21630.7610977941</v>
      </c>
      <c r="G74" t="s">
        <v>105</v>
      </c>
    </row>
    <row r="75" spans="1:7" x14ac:dyDescent="0.25">
      <c r="A75" t="str">
        <f>tbl_Custodian[[#This Row],[Account]] &amp; "-" &amp; tbl_Custodian[[#This Row],[Security]] &amp; "-" &amp; TEXT(tbl_Custodian[[#This Row],[Date]],"yyyymmdd")</f>
        <v>A001-META-20251001</v>
      </c>
      <c r="B75" s="1">
        <v>45931</v>
      </c>
      <c r="C75" t="s">
        <v>40</v>
      </c>
      <c r="D75" t="s">
        <v>13</v>
      </c>
      <c r="E75" s="2">
        <v>187</v>
      </c>
      <c r="F75" s="2">
        <v>36420.31</v>
      </c>
      <c r="G75" t="s">
        <v>80</v>
      </c>
    </row>
    <row r="76" spans="1:7" x14ac:dyDescent="0.25">
      <c r="A76" t="str">
        <f>tbl_Custodian[[#This Row],[Account]] &amp; "-" &amp; tbl_Custodian[[#This Row],[Security]] &amp; "-" &amp; TEXT(tbl_Custodian[[#This Row],[Date]],"yyyymmdd")</f>
        <v>A004-JPM-20251016</v>
      </c>
      <c r="B76" s="1">
        <v>45946</v>
      </c>
      <c r="C76" t="s">
        <v>45</v>
      </c>
      <c r="D76" t="s">
        <v>10</v>
      </c>
      <c r="E76" s="2">
        <v>418</v>
      </c>
      <c r="F76" s="2">
        <v>110154.27</v>
      </c>
      <c r="G76" t="s">
        <v>75</v>
      </c>
    </row>
    <row r="77" spans="1:7" x14ac:dyDescent="0.25">
      <c r="A77" t="str">
        <f>tbl_Custodian[[#This Row],[Account]] &amp; "-" &amp; tbl_Custodian[[#This Row],[Security]] &amp; "-" &amp; TEXT(tbl_Custodian[[#This Row],[Date]],"yyyymmdd")</f>
        <v>A001-JPM-20251001</v>
      </c>
      <c r="B77" s="1">
        <v>45931</v>
      </c>
      <c r="C77" t="s">
        <v>40</v>
      </c>
      <c r="D77" t="s">
        <v>10</v>
      </c>
      <c r="E77" s="2">
        <v>423</v>
      </c>
      <c r="F77" s="2">
        <v>119959.15</v>
      </c>
      <c r="G77" t="s">
        <v>44</v>
      </c>
    </row>
    <row r="78" spans="1:7" x14ac:dyDescent="0.25">
      <c r="A78" t="str">
        <f>tbl_Custodian[[#This Row],[Account]] &amp; "-" &amp; tbl_Custodian[[#This Row],[Security]] &amp; "-" &amp; TEXT(tbl_Custodian[[#This Row],[Date]],"yyyymmdd")</f>
        <v>A007-JPM-20251005</v>
      </c>
      <c r="B78" s="1">
        <v>45935</v>
      </c>
      <c r="C78" t="s">
        <v>22</v>
      </c>
      <c r="D78" t="s">
        <v>10</v>
      </c>
      <c r="E78" s="2">
        <v>235</v>
      </c>
      <c r="F78" s="2">
        <v>115607.85</v>
      </c>
      <c r="G78" t="s">
        <v>51</v>
      </c>
    </row>
    <row r="79" spans="1:7" x14ac:dyDescent="0.25">
      <c r="A79" t="str">
        <f>tbl_Custodian[[#This Row],[Account]] &amp; "-" &amp; tbl_Custodian[[#This Row],[Security]] &amp; "-" &amp; TEXT(tbl_Custodian[[#This Row],[Date]],"yyyymmdd")</f>
        <v>A006-GOOGL-20251008</v>
      </c>
      <c r="B79" s="1">
        <v>45938</v>
      </c>
      <c r="C79" t="s">
        <v>37</v>
      </c>
      <c r="D79" t="s">
        <v>32</v>
      </c>
      <c r="E79" s="2">
        <v>359</v>
      </c>
      <c r="F79" s="2">
        <v>73033.09</v>
      </c>
      <c r="G79" t="s">
        <v>98</v>
      </c>
    </row>
    <row r="80" spans="1:7" x14ac:dyDescent="0.25">
      <c r="A80" t="str">
        <f>tbl_Custodian[[#This Row],[Account]] &amp; "-" &amp; tbl_Custodian[[#This Row],[Security]] &amp; "-" &amp; TEXT(tbl_Custodian[[#This Row],[Date]],"yyyymmdd")</f>
        <v>A010-NFLX-20251005</v>
      </c>
      <c r="B80" s="1">
        <v>45935</v>
      </c>
      <c r="C80" t="s">
        <v>20</v>
      </c>
      <c r="D80" t="s">
        <v>34</v>
      </c>
      <c r="E80" s="2">
        <v>488</v>
      </c>
      <c r="F80" s="2">
        <v>207633.81</v>
      </c>
      <c r="G80" t="s">
        <v>65</v>
      </c>
    </row>
    <row r="81" spans="1:7" x14ac:dyDescent="0.25">
      <c r="A81" t="str">
        <f>tbl_Custodian[[#This Row],[Account]] &amp; "-" &amp; tbl_Custodian[[#This Row],[Security]] &amp; "-" &amp; TEXT(tbl_Custodian[[#This Row],[Date]],"yyyymmdd")</f>
        <v>A008-NFLX-20251027</v>
      </c>
      <c r="B81" s="1">
        <v>45957</v>
      </c>
      <c r="C81" t="s">
        <v>12</v>
      </c>
      <c r="D81" t="s">
        <v>34</v>
      </c>
      <c r="E81" s="2">
        <v>130</v>
      </c>
      <c r="F81" s="2">
        <v>50752.99</v>
      </c>
      <c r="G81" t="s">
        <v>35</v>
      </c>
    </row>
    <row r="82" spans="1:7" x14ac:dyDescent="0.25">
      <c r="A82" t="str">
        <f>tbl_Custodian[[#This Row],[Account]] &amp; "-" &amp; tbl_Custodian[[#This Row],[Security]] &amp; "-" &amp; TEXT(tbl_Custodian[[#This Row],[Date]],"yyyymmdd")</f>
        <v>A002-BABA-20251025</v>
      </c>
      <c r="B82" s="1">
        <v>45955</v>
      </c>
      <c r="C82" t="s">
        <v>18</v>
      </c>
      <c r="D82" t="s">
        <v>16</v>
      </c>
      <c r="E82" s="2">
        <v>85</v>
      </c>
      <c r="F82" s="2">
        <v>8903.52</v>
      </c>
      <c r="G82" t="s">
        <v>58</v>
      </c>
    </row>
    <row r="83" spans="1:7" x14ac:dyDescent="0.25">
      <c r="A83" t="str">
        <f>tbl_Custodian[[#This Row],[Account]] &amp; "-" &amp; tbl_Custodian[[#This Row],[Security]] &amp; "-" &amp; TEXT(tbl_Custodian[[#This Row],[Date]],"yyyymmdd")</f>
        <v>A007-META-20251022</v>
      </c>
      <c r="B83" s="1">
        <v>45952</v>
      </c>
      <c r="C83" t="s">
        <v>22</v>
      </c>
      <c r="D83" t="s">
        <v>13</v>
      </c>
      <c r="E83" s="2">
        <v>432</v>
      </c>
      <c r="F83" s="2">
        <v>205232.96</v>
      </c>
      <c r="G83" t="s">
        <v>70</v>
      </c>
    </row>
    <row r="84" spans="1:7" x14ac:dyDescent="0.25">
      <c r="A84" t="str">
        <f>tbl_Custodian[[#This Row],[Account]] &amp; "-" &amp; tbl_Custodian[[#This Row],[Security]] &amp; "-" &amp; TEXT(tbl_Custodian[[#This Row],[Date]],"yyyymmdd")</f>
        <v>A009-META-20251014</v>
      </c>
      <c r="B84" s="1">
        <v>45944</v>
      </c>
      <c r="C84" t="s">
        <v>9</v>
      </c>
      <c r="D84" t="s">
        <v>13</v>
      </c>
      <c r="E84" s="2">
        <v>479</v>
      </c>
      <c r="F84" s="2">
        <v>60015.91</v>
      </c>
      <c r="G84" t="s">
        <v>122</v>
      </c>
    </row>
    <row r="85" spans="1:7" x14ac:dyDescent="0.25">
      <c r="A85" t="str">
        <f>tbl_Custodian[[#This Row],[Account]] &amp; "-" &amp; tbl_Custodian[[#This Row],[Security]] &amp; "-" &amp; TEXT(tbl_Custodian[[#This Row],[Date]],"yyyymmdd")</f>
        <v>A005-MSFT-20251028</v>
      </c>
      <c r="B85" s="1">
        <v>45958</v>
      </c>
      <c r="C85" t="s">
        <v>15</v>
      </c>
      <c r="D85" t="s">
        <v>27</v>
      </c>
      <c r="E85" s="2">
        <v>245</v>
      </c>
      <c r="F85" s="2">
        <v>68380.25</v>
      </c>
      <c r="G85" t="s">
        <v>28</v>
      </c>
    </row>
    <row r="86" spans="1:7" x14ac:dyDescent="0.25">
      <c r="A86" t="str">
        <f>tbl_Custodian[[#This Row],[Account]] &amp; "-" &amp; tbl_Custodian[[#This Row],[Security]] &amp; "-" &amp; TEXT(tbl_Custodian[[#This Row],[Date]],"yyyymmdd")</f>
        <v>A010-AAPL-20251029</v>
      </c>
      <c r="B86" s="1">
        <v>45959</v>
      </c>
      <c r="C86" t="s">
        <v>20</v>
      </c>
      <c r="D86" t="s">
        <v>25</v>
      </c>
      <c r="E86" s="2">
        <v>273</v>
      </c>
      <c r="F86" s="2">
        <v>68241.64</v>
      </c>
      <c r="G86" t="s">
        <v>49</v>
      </c>
    </row>
    <row r="87" spans="1:7" x14ac:dyDescent="0.25">
      <c r="A87" t="str">
        <f>tbl_Custodian[[#This Row],[Account]] &amp; "-" &amp; tbl_Custodian[[#This Row],[Security]] &amp; "-" &amp; TEXT(tbl_Custodian[[#This Row],[Date]],"yyyymmdd")</f>
        <v>A004-BABA-20251005</v>
      </c>
      <c r="B87" s="1">
        <v>45935</v>
      </c>
      <c r="C87" t="s">
        <v>45</v>
      </c>
      <c r="D87" t="s">
        <v>16</v>
      </c>
      <c r="E87" s="2">
        <v>190</v>
      </c>
      <c r="F87" s="2">
        <v>26646.58</v>
      </c>
      <c r="G87" t="s">
        <v>84</v>
      </c>
    </row>
    <row r="88" spans="1:7" x14ac:dyDescent="0.25">
      <c r="A88" t="str">
        <f>tbl_Custodian[[#This Row],[Account]] &amp; "-" &amp; tbl_Custodian[[#This Row],[Security]] &amp; "-" &amp; TEXT(tbl_Custodian[[#This Row],[Date]],"yyyymmdd")</f>
        <v>A001-AMZN-20251002</v>
      </c>
      <c r="B88" s="1">
        <v>45932</v>
      </c>
      <c r="C88" t="s">
        <v>40</v>
      </c>
      <c r="D88" t="s">
        <v>23</v>
      </c>
      <c r="E88" s="2">
        <v>133</v>
      </c>
      <c r="F88" s="2">
        <v>65191.79</v>
      </c>
      <c r="G88" t="s">
        <v>77</v>
      </c>
    </row>
    <row r="89" spans="1:7" x14ac:dyDescent="0.25">
      <c r="A89" t="str">
        <f>tbl_Custodian[[#This Row],[Account]] &amp; "-" &amp; tbl_Custodian[[#This Row],[Security]] &amp; "-" &amp; TEXT(tbl_Custodian[[#This Row],[Date]],"yyyymmdd")</f>
        <v>A008-META-20251008</v>
      </c>
      <c r="B89" s="1">
        <v>45938</v>
      </c>
      <c r="C89" t="s">
        <v>12</v>
      </c>
      <c r="D89" t="s">
        <v>13</v>
      </c>
      <c r="E89" s="2">
        <v>90</v>
      </c>
      <c r="F89" s="2">
        <v>24216.15</v>
      </c>
      <c r="G89" t="s">
        <v>14</v>
      </c>
    </row>
    <row r="90" spans="1:7" x14ac:dyDescent="0.25">
      <c r="A90" t="str">
        <f>tbl_Custodian[[#This Row],[Account]] &amp; "-" &amp; tbl_Custodian[[#This Row],[Security]] &amp; "-" &amp; TEXT(tbl_Custodian[[#This Row],[Date]],"yyyymmdd")</f>
        <v>A005-GOOGL-20251005</v>
      </c>
      <c r="B90" s="1">
        <v>45935</v>
      </c>
      <c r="C90" t="s">
        <v>15</v>
      </c>
      <c r="D90" t="s">
        <v>32</v>
      </c>
      <c r="E90" s="2">
        <v>326</v>
      </c>
      <c r="F90" s="2">
        <v>109856.76</v>
      </c>
      <c r="G90" t="s">
        <v>120</v>
      </c>
    </row>
    <row r="91" spans="1:7" x14ac:dyDescent="0.25">
      <c r="A91" t="str">
        <f>tbl_Custodian[[#This Row],[Account]] &amp; "-" &amp; tbl_Custodian[[#This Row],[Security]] &amp; "-" &amp; TEXT(tbl_Custodian[[#This Row],[Date]],"yyyymmdd")</f>
        <v>A004-TSLA-20251019</v>
      </c>
      <c r="B91" s="1">
        <v>45949</v>
      </c>
      <c r="C91" t="s">
        <v>45</v>
      </c>
      <c r="D91" t="s">
        <v>29</v>
      </c>
      <c r="E91" s="2">
        <v>364</v>
      </c>
      <c r="F91" s="2">
        <v>138568.26999999999</v>
      </c>
      <c r="G91" t="s">
        <v>107</v>
      </c>
    </row>
    <row r="92" spans="1:7" x14ac:dyDescent="0.25">
      <c r="A92" t="str">
        <f>tbl_Custodian[[#This Row],[Account]] &amp; "-" &amp; tbl_Custodian[[#This Row],[Security]] &amp; "-" &amp; TEXT(tbl_Custodian[[#This Row],[Date]],"yyyymmdd")</f>
        <v>A009-AAPL-20251028</v>
      </c>
      <c r="B92" s="1">
        <v>45958</v>
      </c>
      <c r="C92" t="s">
        <v>9</v>
      </c>
      <c r="D92" t="s">
        <v>25</v>
      </c>
      <c r="E92" s="2">
        <v>323</v>
      </c>
      <c r="F92" s="2">
        <v>111407.705669214</v>
      </c>
      <c r="G92" t="s">
        <v>125</v>
      </c>
    </row>
    <row r="93" spans="1:7" x14ac:dyDescent="0.25">
      <c r="A93" t="str">
        <f>tbl_Custodian[[#This Row],[Account]] &amp; "-" &amp; tbl_Custodian[[#This Row],[Security]] &amp; "-" &amp; TEXT(tbl_Custodian[[#This Row],[Date]],"yyyymmdd")</f>
        <v>A010-BABA-20251024</v>
      </c>
      <c r="B93" s="1">
        <v>45954</v>
      </c>
      <c r="C93" t="s">
        <v>20</v>
      </c>
      <c r="D93" t="s">
        <v>16</v>
      </c>
      <c r="E93" s="2">
        <v>86</v>
      </c>
      <c r="F93" s="2">
        <v>36901.58</v>
      </c>
      <c r="G93" t="s">
        <v>36</v>
      </c>
    </row>
    <row r="94" spans="1:7" x14ac:dyDescent="0.25">
      <c r="A94" t="str">
        <f>tbl_Custodian[[#This Row],[Account]] &amp; "-" &amp; tbl_Custodian[[#This Row],[Security]] &amp; "-" &amp; TEXT(tbl_Custodian[[#This Row],[Date]],"yyyymmdd")</f>
        <v>A004-JPM-20251021</v>
      </c>
      <c r="B94" s="1">
        <v>45951</v>
      </c>
      <c r="C94" t="s">
        <v>45</v>
      </c>
      <c r="D94" t="s">
        <v>10</v>
      </c>
      <c r="E94" s="2">
        <v>414</v>
      </c>
      <c r="F94" s="2">
        <v>156079.98000000001</v>
      </c>
      <c r="G94" t="s">
        <v>101</v>
      </c>
    </row>
    <row r="95" spans="1:7" x14ac:dyDescent="0.25">
      <c r="A95" t="str">
        <f>tbl_Custodian[[#This Row],[Account]] &amp; "-" &amp; tbl_Custodian[[#This Row],[Security]] &amp; "-" &amp; TEXT(tbl_Custodian[[#This Row],[Date]],"yyyymmdd")</f>
        <v>A004-MSFT-20251023</v>
      </c>
      <c r="B95" s="1">
        <v>45953</v>
      </c>
      <c r="C95" t="s">
        <v>45</v>
      </c>
      <c r="D95" t="s">
        <v>27</v>
      </c>
      <c r="E95" s="2">
        <v>342</v>
      </c>
      <c r="F95" s="2">
        <v>143713.85</v>
      </c>
      <c r="G95" t="s">
        <v>115</v>
      </c>
    </row>
    <row r="96" spans="1:7" x14ac:dyDescent="0.25">
      <c r="A96" t="str">
        <f>tbl_Custodian[[#This Row],[Account]] &amp; "-" &amp; tbl_Custodian[[#This Row],[Security]] &amp; "-" &amp; TEXT(tbl_Custodian[[#This Row],[Date]],"yyyymmdd")</f>
        <v>A008-BABA-20251019</v>
      </c>
      <c r="B96" s="1">
        <v>45949</v>
      </c>
      <c r="C96" t="s">
        <v>12</v>
      </c>
      <c r="D96" t="s">
        <v>16</v>
      </c>
      <c r="E96" s="2">
        <v>335</v>
      </c>
      <c r="F96" s="2">
        <v>58847.58</v>
      </c>
      <c r="G96" t="s">
        <v>123</v>
      </c>
    </row>
    <row r="97" spans="1:7" x14ac:dyDescent="0.25">
      <c r="A97" t="str">
        <f>tbl_Custodian[[#This Row],[Account]] &amp; "-" &amp; tbl_Custodian[[#This Row],[Security]] &amp; "-" &amp; TEXT(tbl_Custodian[[#This Row],[Date]],"yyyymmdd")</f>
        <v>A006-BABA-20251014</v>
      </c>
      <c r="B97" s="1">
        <v>45944</v>
      </c>
      <c r="C97" t="s">
        <v>37</v>
      </c>
      <c r="D97" t="s">
        <v>16</v>
      </c>
      <c r="E97" s="2">
        <v>106</v>
      </c>
      <c r="F97" s="2">
        <v>19090.3</v>
      </c>
      <c r="G97" t="s">
        <v>74</v>
      </c>
    </row>
    <row r="98" spans="1:7" x14ac:dyDescent="0.25">
      <c r="A98" t="str">
        <f>tbl_Custodian[[#This Row],[Account]] &amp; "-" &amp; tbl_Custodian[[#This Row],[Security]] &amp; "-" &amp; TEXT(tbl_Custodian[[#This Row],[Date]],"yyyymmdd")</f>
        <v>A003-AMZN-20251030</v>
      </c>
      <c r="B98" s="1">
        <v>45960</v>
      </c>
      <c r="C98" t="s">
        <v>6</v>
      </c>
      <c r="D98" t="s">
        <v>23</v>
      </c>
      <c r="E98" s="2">
        <v>290</v>
      </c>
      <c r="F98" s="2">
        <v>117792.68</v>
      </c>
      <c r="G98" t="s">
        <v>66</v>
      </c>
    </row>
    <row r="99" spans="1:7" x14ac:dyDescent="0.25">
      <c r="A99" t="str">
        <f>tbl_Custodian[[#This Row],[Account]] &amp; "-" &amp; tbl_Custodian[[#This Row],[Security]] &amp; "-" &amp; TEXT(tbl_Custodian[[#This Row],[Date]],"yyyymmdd")</f>
        <v>A005-JPM-20251025</v>
      </c>
      <c r="B99" s="1">
        <v>45955</v>
      </c>
      <c r="C99" t="s">
        <v>15</v>
      </c>
      <c r="D99" t="s">
        <v>10</v>
      </c>
      <c r="E99" s="2">
        <v>489</v>
      </c>
      <c r="F99" s="2">
        <v>68480.38</v>
      </c>
      <c r="G99" t="s">
        <v>97</v>
      </c>
    </row>
    <row r="100" spans="1:7" x14ac:dyDescent="0.25">
      <c r="A100" t="str">
        <f>tbl_Custodian[[#This Row],[Account]] &amp; "-" &amp; tbl_Custodian[[#This Row],[Security]] &amp; "-" &amp; TEXT(tbl_Custodian[[#This Row],[Date]],"yyyymmdd")</f>
        <v>A001-MSFT-20251008</v>
      </c>
      <c r="B100" s="1">
        <v>45938</v>
      </c>
      <c r="C100" t="s">
        <v>40</v>
      </c>
      <c r="D100" t="s">
        <v>27</v>
      </c>
      <c r="E100" s="2">
        <v>300</v>
      </c>
      <c r="F100" s="2">
        <v>101794.18</v>
      </c>
      <c r="G100" t="s">
        <v>82</v>
      </c>
    </row>
    <row r="101" spans="1:7" x14ac:dyDescent="0.25">
      <c r="A101" t="str">
        <f>tbl_Custodian[[#This Row],[Account]] &amp; "-" &amp; tbl_Custodian[[#This Row],[Security]] &amp; "-" &amp; TEXT(tbl_Custodian[[#This Row],[Date]],"yyyymmdd")</f>
        <v>A007-AMZN-20251026</v>
      </c>
      <c r="B101" s="1">
        <v>45956</v>
      </c>
      <c r="C101" t="s">
        <v>22</v>
      </c>
      <c r="D101" t="s">
        <v>23</v>
      </c>
      <c r="E101" s="2">
        <v>328</v>
      </c>
      <c r="F101" s="2">
        <v>88945.42</v>
      </c>
      <c r="G101" t="s">
        <v>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topLeftCell="B1" workbookViewId="0">
      <selection activeCell="E11" sqref="E11"/>
    </sheetView>
  </sheetViews>
  <sheetFormatPr defaultRowHeight="15" x14ac:dyDescent="0.25"/>
  <cols>
    <col min="1" max="1" width="20.7109375" style="9" customWidth="1"/>
    <col min="2" max="2" width="20.7109375" style="36" customWidth="1"/>
    <col min="3" max="4" width="20.7109375" style="33" customWidth="1"/>
    <col min="5" max="5" width="17" style="2" customWidth="1"/>
    <col min="6" max="6" width="15.7109375" style="2" customWidth="1"/>
    <col min="7" max="7" width="19.5703125" style="2" customWidth="1"/>
    <col min="8" max="8" width="17.28515625" style="2" customWidth="1"/>
    <col min="9" max="9" width="13.85546875" style="13" customWidth="1"/>
    <col min="10" max="10" width="11.42578125" style="2" customWidth="1"/>
    <col min="11" max="11" width="13.5703125" style="9" customWidth="1"/>
  </cols>
  <sheetData>
    <row r="1" spans="1:11" s="4" customFormat="1" x14ac:dyDescent="0.25">
      <c r="A1" s="8" t="s">
        <v>126</v>
      </c>
      <c r="B1" s="35" t="s">
        <v>0</v>
      </c>
      <c r="C1" s="31" t="s">
        <v>1</v>
      </c>
      <c r="D1" s="31" t="s">
        <v>2</v>
      </c>
      <c r="E1" s="7" t="s">
        <v>127</v>
      </c>
      <c r="F1" s="7" t="s">
        <v>128</v>
      </c>
      <c r="G1" s="7" t="s">
        <v>129</v>
      </c>
      <c r="H1" s="7" t="s">
        <v>130</v>
      </c>
      <c r="I1" s="12" t="s">
        <v>131</v>
      </c>
      <c r="J1" s="7" t="s">
        <v>132</v>
      </c>
      <c r="K1" s="8" t="s">
        <v>133</v>
      </c>
    </row>
    <row r="2" spans="1:11" x14ac:dyDescent="0.25">
      <c r="A2" s="10" t="str">
        <f>tbl_Internal[[#This Row],[Account]] &amp; "-" &amp; tbl_Internal[[#This Row],[Security]] &amp; "-" &amp; TEXT(tbl_Internal[[#This Row],[Date]],"yyyymmdd")</f>
        <v>A003-NVDA-20251015</v>
      </c>
      <c r="B2" s="32">
        <f>VLOOKUP(A2, tbl_Internal[], 2, FALSE)</f>
        <v>45945</v>
      </c>
      <c r="C2" s="34" t="str">
        <f>VLOOKUP(A2, tbl_Internal[], 3, FALSE)</f>
        <v>A003</v>
      </c>
      <c r="D2" s="34" t="str">
        <f>VLOOKUP(A2, tbl_Internal[], 4, FALSE)</f>
        <v>NVDA</v>
      </c>
      <c r="E2" s="2">
        <f>IFERROR(VLOOKUP(A2, tbl_Internal[], 5, FALSE), "")</f>
        <v>272</v>
      </c>
      <c r="F2" s="2">
        <f>IFERROR(VLOOKUP(A2, tbl_Internal[], 6, FALSE), "")</f>
        <v>78768.44</v>
      </c>
      <c r="G2" s="2">
        <f>IFERROR(VLOOKUP(A2, tbl_Custodian[], 5, FALSE), "")</f>
        <v>272</v>
      </c>
      <c r="H2" s="2">
        <f>IFERROR(VLOOKUP(A2, tbl_Custodian[], 6, FALSE), "")</f>
        <v>78768.44</v>
      </c>
      <c r="I2" s="13">
        <f>IF(E2="", "", E2 - G2)</f>
        <v>0</v>
      </c>
      <c r="J2" s="2">
        <f>IF(F2="", "", F2 - H2)</f>
        <v>0</v>
      </c>
      <c r="K2" s="9" t="str">
        <f>IF(AND(I2=0, J2=0), "MATCH", "MISMATCH")</f>
        <v>MATCH</v>
      </c>
    </row>
    <row r="3" spans="1:11" x14ac:dyDescent="0.25">
      <c r="A3" s="11" t="str">
        <f>tbl_Internal[[#This Row],[Account]] &amp; "-" &amp; tbl_Internal[[#This Row],[Security]] &amp; "-" &amp; TEXT(tbl_Internal[[#This Row],[Date]],"yyyymmdd")</f>
        <v>A009-JPM-20251004</v>
      </c>
      <c r="B3" s="32">
        <f>VLOOKUP(A3, tbl_Internal[], 2, FALSE)</f>
        <v>45934</v>
      </c>
      <c r="C3" s="34" t="str">
        <f>VLOOKUP(A3, tbl_Internal[], 3, FALSE)</f>
        <v>A009</v>
      </c>
      <c r="D3" s="34" t="str">
        <f>VLOOKUP(A3, tbl_Internal[], 4, FALSE)</f>
        <v>JPM</v>
      </c>
      <c r="E3" s="2">
        <f>IFERROR(VLOOKUP(A3, tbl_Internal[], 5, FALSE), "")</f>
        <v>392</v>
      </c>
      <c r="F3" s="2">
        <f>IFERROR(VLOOKUP(A3, tbl_Internal[], 6, FALSE), "")</f>
        <v>53657.1</v>
      </c>
      <c r="G3" s="2">
        <f>IFERROR(VLOOKUP(A3, tbl_Custodian[], 5, FALSE), "")</f>
        <v>392</v>
      </c>
      <c r="H3" s="2">
        <f>IFERROR(VLOOKUP(A3, tbl_Custodian[], 6, FALSE), "")</f>
        <v>53657.1</v>
      </c>
      <c r="I3" s="13">
        <f t="shared" ref="I3:I66" si="0">IF(E3="", "", E3 - G3)</f>
        <v>0</v>
      </c>
      <c r="J3" s="2">
        <f t="shared" ref="J3:J66" si="1">IF(F3="", "", F3 - H3)</f>
        <v>0</v>
      </c>
      <c r="K3" s="9" t="str">
        <f t="shared" ref="K3:K66" si="2">IF(AND(I3=0, J3=0), "MATCH", "MISMATCH")</f>
        <v>MATCH</v>
      </c>
    </row>
    <row r="4" spans="1:11" x14ac:dyDescent="0.25">
      <c r="A4" s="10" t="str">
        <f>tbl_Internal[[#This Row],[Account]] &amp; "-" &amp; tbl_Internal[[#This Row],[Security]] &amp; "-" &amp; TEXT(tbl_Internal[[#This Row],[Date]],"yyyymmdd")</f>
        <v>A008-META-20251008</v>
      </c>
      <c r="B4" s="32">
        <f>VLOOKUP(A4, tbl_Internal[], 2, FALSE)</f>
        <v>45938</v>
      </c>
      <c r="C4" s="34" t="str">
        <f>VLOOKUP(A4, tbl_Internal[], 3, FALSE)</f>
        <v>A008</v>
      </c>
      <c r="D4" s="34" t="str">
        <f>VLOOKUP(A4, tbl_Internal[], 4, FALSE)</f>
        <v>META</v>
      </c>
      <c r="E4" s="2">
        <f>IFERROR(VLOOKUP(A4, tbl_Internal[], 5, FALSE), "")</f>
        <v>90</v>
      </c>
      <c r="F4" s="2">
        <f>IFERROR(VLOOKUP(A4, tbl_Internal[], 6, FALSE), "")</f>
        <v>24216.15</v>
      </c>
      <c r="G4" s="2">
        <f>IFERROR(VLOOKUP(A4, tbl_Custodian[], 5, FALSE), "")</f>
        <v>90</v>
      </c>
      <c r="H4" s="2">
        <f>IFERROR(VLOOKUP(A4, tbl_Custodian[], 6, FALSE), "")</f>
        <v>24216.15</v>
      </c>
      <c r="I4" s="13">
        <f t="shared" si="0"/>
        <v>0</v>
      </c>
      <c r="J4" s="2">
        <f t="shared" si="1"/>
        <v>0</v>
      </c>
      <c r="K4" s="9" t="str">
        <f t="shared" si="2"/>
        <v>MATCH</v>
      </c>
    </row>
    <row r="5" spans="1:11" x14ac:dyDescent="0.25">
      <c r="A5" s="11" t="str">
        <f>tbl_Internal[[#This Row],[Account]] &amp; "-" &amp; tbl_Internal[[#This Row],[Security]] &amp; "-" &amp; TEXT(tbl_Internal[[#This Row],[Date]],"yyyymmdd")</f>
        <v>A005-BABA-20251005</v>
      </c>
      <c r="B5" s="32">
        <f>VLOOKUP(A5, tbl_Internal[], 2, FALSE)</f>
        <v>45935</v>
      </c>
      <c r="C5" s="34" t="str">
        <f>VLOOKUP(A5, tbl_Internal[], 3, FALSE)</f>
        <v>A005</v>
      </c>
      <c r="D5" s="34" t="str">
        <f>VLOOKUP(A5, tbl_Internal[], 4, FALSE)</f>
        <v>BABA</v>
      </c>
      <c r="E5" s="2">
        <f>IFERROR(VLOOKUP(A5, tbl_Internal[], 5, FALSE), "")</f>
        <v>84</v>
      </c>
      <c r="F5" s="2">
        <f>IFERROR(VLOOKUP(A5, tbl_Internal[], 6, FALSE), "")</f>
        <v>11371.4</v>
      </c>
      <c r="G5" s="2">
        <f>IFERROR(VLOOKUP(A5, tbl_Custodian[], 5, FALSE), "")</f>
        <v>84</v>
      </c>
      <c r="H5" s="2">
        <f>IFERROR(VLOOKUP(A5, tbl_Custodian[], 6, FALSE), "")</f>
        <v>11371.4</v>
      </c>
      <c r="I5" s="13">
        <f t="shared" si="0"/>
        <v>0</v>
      </c>
      <c r="J5" s="2">
        <f t="shared" si="1"/>
        <v>0</v>
      </c>
      <c r="K5" s="9" t="str">
        <f t="shared" si="2"/>
        <v>MATCH</v>
      </c>
    </row>
    <row r="6" spans="1:11" x14ac:dyDescent="0.25">
      <c r="A6" s="10" t="str">
        <f>tbl_Internal[[#This Row],[Account]] &amp; "-" &amp; tbl_Internal[[#This Row],[Security]] &amp; "-" &amp; TEXT(tbl_Internal[[#This Row],[Date]],"yyyymmdd")</f>
        <v>A002-META-20251016</v>
      </c>
      <c r="B6" s="32">
        <f>VLOOKUP(A6, tbl_Internal[], 2, FALSE)</f>
        <v>45946</v>
      </c>
      <c r="C6" s="34" t="str">
        <f>VLOOKUP(A6, tbl_Internal[], 3, FALSE)</f>
        <v>A002</v>
      </c>
      <c r="D6" s="34" t="str">
        <f>VLOOKUP(A6, tbl_Internal[], 4, FALSE)</f>
        <v>META</v>
      </c>
      <c r="E6" s="2">
        <f>IFERROR(VLOOKUP(A6, tbl_Internal[], 5, FALSE), "")</f>
        <v>83</v>
      </c>
      <c r="F6" s="2">
        <f>IFERROR(VLOOKUP(A6, tbl_Internal[], 6, FALSE), "")</f>
        <v>38215.379999999997</v>
      </c>
      <c r="G6" s="2">
        <f>IFERROR(VLOOKUP(A6, tbl_Custodian[], 5, FALSE), "")</f>
        <v>83</v>
      </c>
      <c r="H6" s="2">
        <f>IFERROR(VLOOKUP(A6, tbl_Custodian[], 6, FALSE), "")</f>
        <v>38215.379999999997</v>
      </c>
      <c r="I6" s="13">
        <f t="shared" si="0"/>
        <v>0</v>
      </c>
      <c r="J6" s="2">
        <f t="shared" si="1"/>
        <v>0</v>
      </c>
      <c r="K6" s="9" t="str">
        <f t="shared" si="2"/>
        <v>MATCH</v>
      </c>
    </row>
    <row r="7" spans="1:11" x14ac:dyDescent="0.25">
      <c r="A7" s="11" t="str">
        <f>tbl_Internal[[#This Row],[Account]] &amp; "-" &amp; tbl_Internal[[#This Row],[Security]] &amp; "-" &amp; TEXT(tbl_Internal[[#This Row],[Date]],"yyyymmdd")</f>
        <v>A010-BABA-20251018</v>
      </c>
      <c r="B7" s="32">
        <f>VLOOKUP(A7, tbl_Internal[], 2, FALSE)</f>
        <v>45948</v>
      </c>
      <c r="C7" s="34" t="str">
        <f>VLOOKUP(A7, tbl_Internal[], 3, FALSE)</f>
        <v>A010</v>
      </c>
      <c r="D7" s="34" t="str">
        <f>VLOOKUP(A7, tbl_Internal[], 4, FALSE)</f>
        <v>BABA</v>
      </c>
      <c r="E7" s="2">
        <f>IFERROR(VLOOKUP(A7, tbl_Internal[], 5, FALSE), "")</f>
        <v>73</v>
      </c>
      <c r="F7" s="2">
        <f>IFERROR(VLOOKUP(A7, tbl_Internal[], 6, FALSE), "")</f>
        <v>12030.2</v>
      </c>
      <c r="G7" s="2">
        <f>IFERROR(VLOOKUP(A7, tbl_Custodian[], 5, FALSE), "")</f>
        <v>73</v>
      </c>
      <c r="H7" s="2">
        <f>IFERROR(VLOOKUP(A7, tbl_Custodian[], 6, FALSE), "")</f>
        <v>12030.2</v>
      </c>
      <c r="I7" s="13">
        <f t="shared" si="0"/>
        <v>0</v>
      </c>
      <c r="J7" s="2">
        <f t="shared" si="1"/>
        <v>0</v>
      </c>
      <c r="K7" s="9" t="str">
        <f t="shared" si="2"/>
        <v>MATCH</v>
      </c>
    </row>
    <row r="8" spans="1:11" x14ac:dyDescent="0.25">
      <c r="A8" s="10" t="str">
        <f>tbl_Internal[[#This Row],[Account]] &amp; "-" &amp; tbl_Internal[[#This Row],[Security]] &amp; "-" &amp; TEXT(tbl_Internal[[#This Row],[Date]],"yyyymmdd")</f>
        <v>A007-AMZN-20251026</v>
      </c>
      <c r="B8" s="32">
        <f>VLOOKUP(A8, tbl_Internal[], 2, FALSE)</f>
        <v>45956</v>
      </c>
      <c r="C8" s="34" t="str">
        <f>VLOOKUP(A8, tbl_Internal[], 3, FALSE)</f>
        <v>A007</v>
      </c>
      <c r="D8" s="34" t="str">
        <f>VLOOKUP(A8, tbl_Internal[], 4, FALSE)</f>
        <v>AMZN</v>
      </c>
      <c r="E8" s="2">
        <f>IFERROR(VLOOKUP(A8, tbl_Internal[], 5, FALSE), "")</f>
        <v>328</v>
      </c>
      <c r="F8" s="2">
        <f>IFERROR(VLOOKUP(A8, tbl_Internal[], 6, FALSE), "")</f>
        <v>88945.42</v>
      </c>
      <c r="G8" s="2">
        <f>IFERROR(VLOOKUP(A8, tbl_Custodian[], 5, FALSE), "")</f>
        <v>328</v>
      </c>
      <c r="H8" s="2">
        <f>IFERROR(VLOOKUP(A8, tbl_Custodian[], 6, FALSE), "")</f>
        <v>88945.42</v>
      </c>
      <c r="I8" s="13">
        <f t="shared" si="0"/>
        <v>0</v>
      </c>
      <c r="J8" s="2">
        <f t="shared" si="1"/>
        <v>0</v>
      </c>
      <c r="K8" s="9" t="str">
        <f t="shared" si="2"/>
        <v>MATCH</v>
      </c>
    </row>
    <row r="9" spans="1:11" x14ac:dyDescent="0.25">
      <c r="A9" s="11" t="str">
        <f>tbl_Internal[[#This Row],[Account]] &amp; "-" &amp; tbl_Internal[[#This Row],[Security]] &amp; "-" &amp; TEXT(tbl_Internal[[#This Row],[Date]],"yyyymmdd")</f>
        <v>A008-AAPL-20251028</v>
      </c>
      <c r="B9" s="32">
        <f>VLOOKUP(A9, tbl_Internal[], 2, FALSE)</f>
        <v>45958</v>
      </c>
      <c r="C9" s="34" t="str">
        <f>VLOOKUP(A9, tbl_Internal[], 3, FALSE)</f>
        <v>A008</v>
      </c>
      <c r="D9" s="34" t="str">
        <f>VLOOKUP(A9, tbl_Internal[], 4, FALSE)</f>
        <v>AAPL</v>
      </c>
      <c r="E9" s="2">
        <f>IFERROR(VLOOKUP(A9, tbl_Internal[], 5, FALSE), "")</f>
        <v>265</v>
      </c>
      <c r="F9" s="2">
        <f>IFERROR(VLOOKUP(A9, tbl_Internal[], 6, FALSE), "")</f>
        <v>128766.49</v>
      </c>
      <c r="G9" s="2">
        <f>IFERROR(VLOOKUP(A9, tbl_Custodian[], 5, FALSE), "")</f>
        <v>265</v>
      </c>
      <c r="H9" s="2">
        <f>IFERROR(VLOOKUP(A9, tbl_Custodian[], 6, FALSE), "")</f>
        <v>128766.49</v>
      </c>
      <c r="I9" s="13">
        <f t="shared" si="0"/>
        <v>0</v>
      </c>
      <c r="J9" s="2">
        <f t="shared" si="1"/>
        <v>0</v>
      </c>
      <c r="K9" s="9" t="str">
        <f t="shared" si="2"/>
        <v>MATCH</v>
      </c>
    </row>
    <row r="10" spans="1:11" x14ac:dyDescent="0.25">
      <c r="A10" s="10" t="str">
        <f>tbl_Internal[[#This Row],[Account]] &amp; "-" &amp; tbl_Internal[[#This Row],[Security]] &amp; "-" &amp; TEXT(tbl_Internal[[#This Row],[Date]],"yyyymmdd")</f>
        <v>A005-MSFT-20251028</v>
      </c>
      <c r="B10" s="32">
        <f>VLOOKUP(A10, tbl_Internal[], 2, FALSE)</f>
        <v>45958</v>
      </c>
      <c r="C10" s="34" t="str">
        <f>VLOOKUP(A10, tbl_Internal[], 3, FALSE)</f>
        <v>A005</v>
      </c>
      <c r="D10" s="34" t="str">
        <f>VLOOKUP(A10, tbl_Internal[], 4, FALSE)</f>
        <v>MSFT</v>
      </c>
      <c r="E10" s="2">
        <f>IFERROR(VLOOKUP(A10, tbl_Internal[], 5, FALSE), "")</f>
        <v>245</v>
      </c>
      <c r="F10" s="2">
        <f>IFERROR(VLOOKUP(A10, tbl_Internal[], 6, FALSE), "")</f>
        <v>68380.25</v>
      </c>
      <c r="G10" s="2">
        <f>IFERROR(VLOOKUP(A10, tbl_Custodian[], 5, FALSE), "")</f>
        <v>245</v>
      </c>
      <c r="H10" s="2">
        <f>IFERROR(VLOOKUP(A10, tbl_Custodian[], 6, FALSE), "")</f>
        <v>68380.25</v>
      </c>
      <c r="I10" s="13">
        <f t="shared" si="0"/>
        <v>0</v>
      </c>
      <c r="J10" s="2">
        <f t="shared" si="1"/>
        <v>0</v>
      </c>
      <c r="K10" s="9" t="str">
        <f t="shared" si="2"/>
        <v>MATCH</v>
      </c>
    </row>
    <row r="11" spans="1:11" x14ac:dyDescent="0.25">
      <c r="A11" s="11" t="str">
        <f>tbl_Internal[[#This Row],[Account]] &amp; "-" &amp; tbl_Internal[[#This Row],[Security]] &amp; "-" &amp; TEXT(tbl_Internal[[#This Row],[Date]],"yyyymmdd")</f>
        <v>A003-TSLA-20251029</v>
      </c>
      <c r="B11" s="32">
        <f>VLOOKUP(A11, tbl_Internal[], 2, FALSE)</f>
        <v>45959</v>
      </c>
      <c r="C11" s="34" t="str">
        <f>VLOOKUP(A11, tbl_Internal[], 3, FALSE)</f>
        <v>A003</v>
      </c>
      <c r="D11" s="34" t="str">
        <f>VLOOKUP(A11, tbl_Internal[], 4, FALSE)</f>
        <v>TSLA</v>
      </c>
      <c r="E11" s="2">
        <f>IFERROR(VLOOKUP(A11, tbl_Internal[], 5, FALSE), "")</f>
        <v>329</v>
      </c>
      <c r="F11" s="2">
        <f>IFERROR(VLOOKUP(A11, tbl_Internal[], 6, FALSE), "")</f>
        <v>132259.07</v>
      </c>
      <c r="G11" s="2">
        <f>IFERROR(VLOOKUP(A11, tbl_Custodian[], 5, FALSE), "")</f>
        <v>329</v>
      </c>
      <c r="H11" s="2">
        <f>IFERROR(VLOOKUP(A11, tbl_Custodian[], 6, FALSE), "")</f>
        <v>132259.07</v>
      </c>
      <c r="I11" s="13">
        <f t="shared" si="0"/>
        <v>0</v>
      </c>
      <c r="J11" s="2">
        <f t="shared" si="1"/>
        <v>0</v>
      </c>
      <c r="K11" s="9" t="str">
        <f t="shared" si="2"/>
        <v>MATCH</v>
      </c>
    </row>
    <row r="12" spans="1:11" x14ac:dyDescent="0.25">
      <c r="A12" s="10" t="str">
        <f>tbl_Internal[[#This Row],[Account]] &amp; "-" &amp; tbl_Internal[[#This Row],[Security]] &amp; "-" &amp; TEXT(tbl_Internal[[#This Row],[Date]],"yyyymmdd")</f>
        <v>A003-NVDA-20251018</v>
      </c>
      <c r="B12" s="32">
        <f>VLOOKUP(A12, tbl_Internal[], 2, FALSE)</f>
        <v>45948</v>
      </c>
      <c r="C12" s="34" t="str">
        <f>VLOOKUP(A12, tbl_Internal[], 3, FALSE)</f>
        <v>A003</v>
      </c>
      <c r="D12" s="34" t="str">
        <f>VLOOKUP(A12, tbl_Internal[], 4, FALSE)</f>
        <v>NVDA</v>
      </c>
      <c r="E12" s="2">
        <f>IFERROR(VLOOKUP(A12, tbl_Internal[], 5, FALSE), "")</f>
        <v>249</v>
      </c>
      <c r="F12" s="2">
        <f>IFERROR(VLOOKUP(A12, tbl_Internal[], 6, FALSE), "")</f>
        <v>54431.19</v>
      </c>
      <c r="G12" s="2">
        <f>IFERROR(VLOOKUP(A12, tbl_Custodian[], 5, FALSE), "")</f>
        <v>249</v>
      </c>
      <c r="H12" s="2">
        <f>IFERROR(VLOOKUP(A12, tbl_Custodian[], 6, FALSE), "")</f>
        <v>54045.449399229401</v>
      </c>
      <c r="I12" s="13">
        <f t="shared" si="0"/>
        <v>0</v>
      </c>
      <c r="J12" s="2">
        <f t="shared" si="1"/>
        <v>385.7406007706013</v>
      </c>
      <c r="K12" s="9" t="str">
        <f t="shared" si="2"/>
        <v>MISMATCH</v>
      </c>
    </row>
    <row r="13" spans="1:11" x14ac:dyDescent="0.25">
      <c r="A13" s="11" t="str">
        <f>tbl_Internal[[#This Row],[Account]] &amp; "-" &amp; tbl_Internal[[#This Row],[Security]] &amp; "-" &amp; TEXT(tbl_Internal[[#This Row],[Date]],"yyyymmdd")</f>
        <v>A010-GOOGL-20251016</v>
      </c>
      <c r="B13" s="32">
        <f>VLOOKUP(A13, tbl_Internal[], 2, FALSE)</f>
        <v>45946</v>
      </c>
      <c r="C13" s="34" t="str">
        <f>VLOOKUP(A13, tbl_Internal[], 3, FALSE)</f>
        <v>A010</v>
      </c>
      <c r="D13" s="34" t="str">
        <f>VLOOKUP(A13, tbl_Internal[], 4, FALSE)</f>
        <v>GOOGL</v>
      </c>
      <c r="E13" s="2">
        <f>IFERROR(VLOOKUP(A13, tbl_Internal[], 5, FALSE), "")</f>
        <v>383</v>
      </c>
      <c r="F13" s="2">
        <f>IFERROR(VLOOKUP(A13, tbl_Internal[], 6, FALSE), "")</f>
        <v>91763.28</v>
      </c>
      <c r="G13" s="2">
        <f>IFERROR(VLOOKUP(A13, tbl_Custodian[], 5, FALSE), "")</f>
        <v>383</v>
      </c>
      <c r="H13" s="2">
        <f>IFERROR(VLOOKUP(A13, tbl_Custodian[], 6, FALSE), "")</f>
        <v>91763.28</v>
      </c>
      <c r="I13" s="13">
        <f t="shared" si="0"/>
        <v>0</v>
      </c>
      <c r="J13" s="2">
        <f t="shared" si="1"/>
        <v>0</v>
      </c>
      <c r="K13" s="9" t="str">
        <f t="shared" si="2"/>
        <v>MATCH</v>
      </c>
    </row>
    <row r="14" spans="1:11" x14ac:dyDescent="0.25">
      <c r="A14" s="10" t="str">
        <f>tbl_Internal[[#This Row],[Account]] &amp; "-" &amp; tbl_Internal[[#This Row],[Security]] &amp; "-" &amp; TEXT(tbl_Internal[[#This Row],[Date]],"yyyymmdd")</f>
        <v>A008-NFLX-20251027</v>
      </c>
      <c r="B14" s="32">
        <f>VLOOKUP(A14, tbl_Internal[], 2, FALSE)</f>
        <v>45957</v>
      </c>
      <c r="C14" s="34" t="str">
        <f>VLOOKUP(A14, tbl_Internal[], 3, FALSE)</f>
        <v>A008</v>
      </c>
      <c r="D14" s="34" t="str">
        <f>VLOOKUP(A14, tbl_Internal[], 4, FALSE)</f>
        <v>NFLX</v>
      </c>
      <c r="E14" s="2">
        <f>IFERROR(VLOOKUP(A14, tbl_Internal[], 5, FALSE), "")</f>
        <v>126</v>
      </c>
      <c r="F14" s="2">
        <f>IFERROR(VLOOKUP(A14, tbl_Internal[], 6, FALSE), "")</f>
        <v>50752.99</v>
      </c>
      <c r="G14" s="2">
        <f>IFERROR(VLOOKUP(A14, tbl_Custodian[], 5, FALSE), "")</f>
        <v>130</v>
      </c>
      <c r="H14" s="2">
        <f>IFERROR(VLOOKUP(A14, tbl_Custodian[], 6, FALSE), "")</f>
        <v>50752.99</v>
      </c>
      <c r="I14" s="13">
        <f t="shared" si="0"/>
        <v>-4</v>
      </c>
      <c r="J14" s="2">
        <f t="shared" si="1"/>
        <v>0</v>
      </c>
      <c r="K14" s="9" t="str">
        <f t="shared" si="2"/>
        <v>MISMATCH</v>
      </c>
    </row>
    <row r="15" spans="1:11" x14ac:dyDescent="0.25">
      <c r="A15" s="11" t="str">
        <f>tbl_Internal[[#This Row],[Account]] &amp; "-" &amp; tbl_Internal[[#This Row],[Security]] &amp; "-" &amp; TEXT(tbl_Internal[[#This Row],[Date]],"yyyymmdd")</f>
        <v>A010-BABA-20251024</v>
      </c>
      <c r="B15" s="32">
        <f>VLOOKUP(A15, tbl_Internal[], 2, FALSE)</f>
        <v>45954</v>
      </c>
      <c r="C15" s="34" t="str">
        <f>VLOOKUP(A15, tbl_Internal[], 3, FALSE)</f>
        <v>A010</v>
      </c>
      <c r="D15" s="34" t="str">
        <f>VLOOKUP(A15, tbl_Internal[], 4, FALSE)</f>
        <v>BABA</v>
      </c>
      <c r="E15" s="2">
        <f>IFERROR(VLOOKUP(A15, tbl_Internal[], 5, FALSE), "")</f>
        <v>86</v>
      </c>
      <c r="F15" s="2">
        <f>IFERROR(VLOOKUP(A15, tbl_Internal[], 6, FALSE), "")</f>
        <v>36901.58</v>
      </c>
      <c r="G15" s="2">
        <f>IFERROR(VLOOKUP(A15, tbl_Custodian[], 5, FALSE), "")</f>
        <v>86</v>
      </c>
      <c r="H15" s="2">
        <f>IFERROR(VLOOKUP(A15, tbl_Custodian[], 6, FALSE), "")</f>
        <v>36901.58</v>
      </c>
      <c r="I15" s="13">
        <f t="shared" si="0"/>
        <v>0</v>
      </c>
      <c r="J15" s="2">
        <f t="shared" si="1"/>
        <v>0</v>
      </c>
      <c r="K15" s="9" t="str">
        <f t="shared" si="2"/>
        <v>MATCH</v>
      </c>
    </row>
    <row r="16" spans="1:11" x14ac:dyDescent="0.25">
      <c r="A16" s="10" t="str">
        <f>tbl_Internal[[#This Row],[Account]] &amp; "-" &amp; tbl_Internal[[#This Row],[Security]] &amp; "-" &amp; TEXT(tbl_Internal[[#This Row],[Date]],"yyyymmdd")</f>
        <v>A006-META-20251027</v>
      </c>
      <c r="B16" s="32">
        <f>VLOOKUP(A16, tbl_Internal[], 2, FALSE)</f>
        <v>45957</v>
      </c>
      <c r="C16" s="34" t="str">
        <f>VLOOKUP(A16, tbl_Internal[], 3, FALSE)</f>
        <v>A006</v>
      </c>
      <c r="D16" s="34" t="str">
        <f>VLOOKUP(A16, tbl_Internal[], 4, FALSE)</f>
        <v>META</v>
      </c>
      <c r="E16" s="2">
        <f>IFERROR(VLOOKUP(A16, tbl_Internal[], 5, FALSE), "")</f>
        <v>90</v>
      </c>
      <c r="F16" s="2">
        <f>IFERROR(VLOOKUP(A16, tbl_Internal[], 6, FALSE), "")</f>
        <v>29155.93</v>
      </c>
      <c r="G16" s="2">
        <f>IFERROR(VLOOKUP(A16, tbl_Custodian[], 5, FALSE), "")</f>
        <v>90</v>
      </c>
      <c r="H16" s="2">
        <f>IFERROR(VLOOKUP(A16, tbl_Custodian[], 6, FALSE), "")</f>
        <v>29155.93</v>
      </c>
      <c r="I16" s="13">
        <f t="shared" si="0"/>
        <v>0</v>
      </c>
      <c r="J16" s="2">
        <f t="shared" si="1"/>
        <v>0</v>
      </c>
      <c r="K16" s="9" t="str">
        <f t="shared" si="2"/>
        <v>MATCH</v>
      </c>
    </row>
    <row r="17" spans="1:11" x14ac:dyDescent="0.25">
      <c r="A17" s="11" t="str">
        <f>tbl_Internal[[#This Row],[Account]] &amp; "-" &amp; tbl_Internal[[#This Row],[Security]] &amp; "-" &amp; TEXT(tbl_Internal[[#This Row],[Date]],"yyyymmdd")</f>
        <v>A009-GOOGL-20251009</v>
      </c>
      <c r="B17" s="32">
        <f>VLOOKUP(A17, tbl_Internal[], 2, FALSE)</f>
        <v>45939</v>
      </c>
      <c r="C17" s="34" t="str">
        <f>VLOOKUP(A17, tbl_Internal[], 3, FALSE)</f>
        <v>A009</v>
      </c>
      <c r="D17" s="34" t="str">
        <f>VLOOKUP(A17, tbl_Internal[], 4, FALSE)</f>
        <v>GOOGL</v>
      </c>
      <c r="E17" s="2">
        <f>IFERROR(VLOOKUP(A17, tbl_Internal[], 5, FALSE), "")</f>
        <v>326</v>
      </c>
      <c r="F17" s="2">
        <f>IFERROR(VLOOKUP(A17, tbl_Internal[], 6, FALSE), "")</f>
        <v>120209.51</v>
      </c>
      <c r="G17" s="2">
        <f>IFERROR(VLOOKUP(A17, tbl_Custodian[], 5, FALSE), "")</f>
        <v>326</v>
      </c>
      <c r="H17" s="2">
        <f>IFERROR(VLOOKUP(A17, tbl_Custodian[], 6, FALSE), "")</f>
        <v>120209.51</v>
      </c>
      <c r="I17" s="13">
        <f t="shared" si="0"/>
        <v>0</v>
      </c>
      <c r="J17" s="2">
        <f t="shared" si="1"/>
        <v>0</v>
      </c>
      <c r="K17" s="9" t="str">
        <f t="shared" si="2"/>
        <v>MATCH</v>
      </c>
    </row>
    <row r="18" spans="1:11" x14ac:dyDescent="0.25">
      <c r="A18" s="10" t="str">
        <f>tbl_Internal[[#This Row],[Account]] &amp; "-" &amp; tbl_Internal[[#This Row],[Security]] &amp; "-" &amp; TEXT(tbl_Internal[[#This Row],[Date]],"yyyymmdd")</f>
        <v>A001-MSFT-20251024</v>
      </c>
      <c r="B18" s="32">
        <f>VLOOKUP(A18, tbl_Internal[], 2, FALSE)</f>
        <v>45954</v>
      </c>
      <c r="C18" s="34" t="str">
        <f>VLOOKUP(A18, tbl_Internal[], 3, FALSE)</f>
        <v>A001</v>
      </c>
      <c r="D18" s="34" t="str">
        <f>VLOOKUP(A18, tbl_Internal[], 4, FALSE)</f>
        <v>MSFT</v>
      </c>
      <c r="E18" s="2">
        <f>IFERROR(VLOOKUP(A18, tbl_Internal[], 5, FALSE), "")</f>
        <v>473</v>
      </c>
      <c r="F18" s="2">
        <f>IFERROR(VLOOKUP(A18, tbl_Internal[], 6, FALSE), "")</f>
        <v>105795.84</v>
      </c>
      <c r="G18" s="2">
        <f>IFERROR(VLOOKUP(A18, tbl_Custodian[], 5, FALSE), "")</f>
        <v>473</v>
      </c>
      <c r="H18" s="2">
        <f>IFERROR(VLOOKUP(A18, tbl_Custodian[], 6, FALSE), "")</f>
        <v>105795.84</v>
      </c>
      <c r="I18" s="13">
        <f t="shared" si="0"/>
        <v>0</v>
      </c>
      <c r="J18" s="2">
        <f t="shared" si="1"/>
        <v>0</v>
      </c>
      <c r="K18" s="9" t="str">
        <f t="shared" si="2"/>
        <v>MATCH</v>
      </c>
    </row>
    <row r="19" spans="1:11" x14ac:dyDescent="0.25">
      <c r="A19" s="11" t="str">
        <f>tbl_Internal[[#This Row],[Account]] &amp; "-" &amp; tbl_Internal[[#This Row],[Security]] &amp; "-" &amp; TEXT(tbl_Internal[[#This Row],[Date]],"yyyymmdd")</f>
        <v>A003-NVDA-20251023</v>
      </c>
      <c r="B19" s="32">
        <f>VLOOKUP(A19, tbl_Internal[], 2, FALSE)</f>
        <v>45953</v>
      </c>
      <c r="C19" s="34" t="str">
        <f>VLOOKUP(A19, tbl_Internal[], 3, FALSE)</f>
        <v>A003</v>
      </c>
      <c r="D19" s="34" t="str">
        <f>VLOOKUP(A19, tbl_Internal[], 4, FALSE)</f>
        <v>NVDA</v>
      </c>
      <c r="E19" s="2">
        <f>IFERROR(VLOOKUP(A19, tbl_Internal[], 5, FALSE), "")</f>
        <v>288</v>
      </c>
      <c r="F19" s="2">
        <f>IFERROR(VLOOKUP(A19, tbl_Internal[], 6, FALSE), "")</f>
        <v>105904.83</v>
      </c>
      <c r="G19" s="2">
        <f>IFERROR(VLOOKUP(A19, tbl_Custodian[], 5, FALSE), "")</f>
        <v>288</v>
      </c>
      <c r="H19" s="2">
        <f>IFERROR(VLOOKUP(A19, tbl_Custodian[], 6, FALSE), "")</f>
        <v>105904.83</v>
      </c>
      <c r="I19" s="13">
        <f t="shared" si="0"/>
        <v>0</v>
      </c>
      <c r="J19" s="2">
        <f t="shared" si="1"/>
        <v>0</v>
      </c>
      <c r="K19" s="9" t="str">
        <f t="shared" si="2"/>
        <v>MATCH</v>
      </c>
    </row>
    <row r="20" spans="1:11" x14ac:dyDescent="0.25">
      <c r="A20" s="10" t="str">
        <f>tbl_Internal[[#This Row],[Account]] &amp; "-" &amp; tbl_Internal[[#This Row],[Security]] &amp; "-" &amp; TEXT(tbl_Internal[[#This Row],[Date]],"yyyymmdd")</f>
        <v>A001-BABA-20251005</v>
      </c>
      <c r="B20" s="32">
        <f>VLOOKUP(A20, tbl_Internal[], 2, FALSE)</f>
        <v>45935</v>
      </c>
      <c r="C20" s="34" t="str">
        <f>VLOOKUP(A20, tbl_Internal[], 3, FALSE)</f>
        <v>A001</v>
      </c>
      <c r="D20" s="34" t="str">
        <f>VLOOKUP(A20, tbl_Internal[], 4, FALSE)</f>
        <v>BABA</v>
      </c>
      <c r="E20" s="2">
        <f>IFERROR(VLOOKUP(A20, tbl_Internal[], 5, FALSE), "")</f>
        <v>170</v>
      </c>
      <c r="F20" s="2">
        <f>IFERROR(VLOOKUP(A20, tbl_Internal[], 6, FALSE), "")</f>
        <v>34416.47</v>
      </c>
      <c r="G20" s="2">
        <f>IFERROR(VLOOKUP(A20, tbl_Custodian[], 5, FALSE), "")</f>
        <v>170</v>
      </c>
      <c r="H20" s="2">
        <f>IFERROR(VLOOKUP(A20, tbl_Custodian[], 6, FALSE), "")</f>
        <v>34416.47</v>
      </c>
      <c r="I20" s="13">
        <f t="shared" si="0"/>
        <v>0</v>
      </c>
      <c r="J20" s="2">
        <f t="shared" si="1"/>
        <v>0</v>
      </c>
      <c r="K20" s="9" t="str">
        <f t="shared" si="2"/>
        <v>MATCH</v>
      </c>
    </row>
    <row r="21" spans="1:11" x14ac:dyDescent="0.25">
      <c r="A21" s="11" t="str">
        <f>tbl_Internal[[#This Row],[Account]] &amp; "-" &amp; tbl_Internal[[#This Row],[Security]] &amp; "-" &amp; TEXT(tbl_Internal[[#This Row],[Date]],"yyyymmdd")</f>
        <v>A001-JPM-20251001</v>
      </c>
      <c r="B21" s="32">
        <f>VLOOKUP(A21, tbl_Internal[], 2, FALSE)</f>
        <v>45931</v>
      </c>
      <c r="C21" s="34" t="str">
        <f>VLOOKUP(A21, tbl_Internal[], 3, FALSE)</f>
        <v>A001</v>
      </c>
      <c r="D21" s="34" t="str">
        <f>VLOOKUP(A21, tbl_Internal[], 4, FALSE)</f>
        <v>JPM</v>
      </c>
      <c r="E21" s="2">
        <f>IFERROR(VLOOKUP(A21, tbl_Internal[], 5, FALSE), "")</f>
        <v>423</v>
      </c>
      <c r="F21" s="2">
        <f>IFERROR(VLOOKUP(A21, tbl_Internal[], 6, FALSE), "")</f>
        <v>119959.15</v>
      </c>
      <c r="G21" s="2">
        <f>IFERROR(VLOOKUP(A21, tbl_Custodian[], 5, FALSE), "")</f>
        <v>423</v>
      </c>
      <c r="H21" s="2">
        <f>IFERROR(VLOOKUP(A21, tbl_Custodian[], 6, FALSE), "")</f>
        <v>119959.15</v>
      </c>
      <c r="I21" s="13">
        <f t="shared" si="0"/>
        <v>0</v>
      </c>
      <c r="J21" s="2">
        <f t="shared" si="1"/>
        <v>0</v>
      </c>
      <c r="K21" s="9" t="str">
        <f t="shared" si="2"/>
        <v>MATCH</v>
      </c>
    </row>
    <row r="22" spans="1:11" x14ac:dyDescent="0.25">
      <c r="A22" s="10" t="str">
        <f>tbl_Internal[[#This Row],[Account]] &amp; "-" &amp; tbl_Internal[[#This Row],[Security]] &amp; "-" &amp; TEXT(tbl_Internal[[#This Row],[Date]],"yyyymmdd")</f>
        <v>A004-AMZN-20251001</v>
      </c>
      <c r="B22" s="32">
        <f>VLOOKUP(A22, tbl_Internal[], 2, FALSE)</f>
        <v>45931</v>
      </c>
      <c r="C22" s="34" t="str">
        <f>VLOOKUP(A22, tbl_Internal[], 3, FALSE)</f>
        <v>A004</v>
      </c>
      <c r="D22" s="34" t="str">
        <f>VLOOKUP(A22, tbl_Internal[], 4, FALSE)</f>
        <v>AMZN</v>
      </c>
      <c r="E22" s="2">
        <f>IFERROR(VLOOKUP(A22, tbl_Internal[], 5, FALSE), "")</f>
        <v>277</v>
      </c>
      <c r="F22" s="2">
        <f>IFERROR(VLOOKUP(A22, tbl_Internal[], 6, FALSE), "")</f>
        <v>68579.41</v>
      </c>
      <c r="G22" s="2">
        <f>IFERROR(VLOOKUP(A22, tbl_Custodian[], 5, FALSE), "")</f>
        <v>277</v>
      </c>
      <c r="H22" s="2">
        <f>IFERROR(VLOOKUP(A22, tbl_Custodian[], 6, FALSE), "")</f>
        <v>68579.41</v>
      </c>
      <c r="I22" s="13">
        <f t="shared" si="0"/>
        <v>0</v>
      </c>
      <c r="J22" s="2">
        <f t="shared" si="1"/>
        <v>0</v>
      </c>
      <c r="K22" s="9" t="str">
        <f t="shared" si="2"/>
        <v>MATCH</v>
      </c>
    </row>
    <row r="23" spans="1:11" x14ac:dyDescent="0.25">
      <c r="A23" s="11" t="str">
        <f>tbl_Internal[[#This Row],[Account]] &amp; "-" &amp; tbl_Internal[[#This Row],[Security]] &amp; "-" &amp; TEXT(tbl_Internal[[#This Row],[Date]],"yyyymmdd")</f>
        <v>A003-META-20251011</v>
      </c>
      <c r="B23" s="32">
        <f>VLOOKUP(A23, tbl_Internal[], 2, FALSE)</f>
        <v>45941</v>
      </c>
      <c r="C23" s="34" t="str">
        <f>VLOOKUP(A23, tbl_Internal[], 3, FALSE)</f>
        <v>A003</v>
      </c>
      <c r="D23" s="34" t="str">
        <f>VLOOKUP(A23, tbl_Internal[], 4, FALSE)</f>
        <v>META</v>
      </c>
      <c r="E23" s="2">
        <f>IFERROR(VLOOKUP(A23, tbl_Internal[], 5, FALSE), "")</f>
        <v>396</v>
      </c>
      <c r="F23" s="2">
        <f>IFERROR(VLOOKUP(A23, tbl_Internal[], 6, FALSE), "")</f>
        <v>85599.76</v>
      </c>
      <c r="G23" s="2">
        <f>IFERROR(VLOOKUP(A23, tbl_Custodian[], 5, FALSE), "")</f>
        <v>396</v>
      </c>
      <c r="H23" s="2">
        <f>IFERROR(VLOOKUP(A23, tbl_Custodian[], 6, FALSE), "")</f>
        <v>85599.76</v>
      </c>
      <c r="I23" s="13">
        <f t="shared" si="0"/>
        <v>0</v>
      </c>
      <c r="J23" s="2">
        <f t="shared" si="1"/>
        <v>0</v>
      </c>
      <c r="K23" s="9" t="str">
        <f t="shared" si="2"/>
        <v>MATCH</v>
      </c>
    </row>
    <row r="24" spans="1:11" x14ac:dyDescent="0.25">
      <c r="A24" s="10" t="str">
        <f>tbl_Internal[[#This Row],[Account]] &amp; "-" &amp; tbl_Internal[[#This Row],[Security]] &amp; "-" &amp; TEXT(tbl_Internal[[#This Row],[Date]],"yyyymmdd")</f>
        <v>A009-TSLA-20251027</v>
      </c>
      <c r="B24" s="32">
        <f>VLOOKUP(A24, tbl_Internal[], 2, FALSE)</f>
        <v>45957</v>
      </c>
      <c r="C24" s="34" t="str">
        <f>VLOOKUP(A24, tbl_Internal[], 3, FALSE)</f>
        <v>A009</v>
      </c>
      <c r="D24" s="34" t="str">
        <f>VLOOKUP(A24, tbl_Internal[], 4, FALSE)</f>
        <v>TSLA</v>
      </c>
      <c r="E24" s="2">
        <f>IFERROR(VLOOKUP(A24, tbl_Internal[], 5, FALSE), "")</f>
        <v>281</v>
      </c>
      <c r="F24" s="2">
        <f>IFERROR(VLOOKUP(A24, tbl_Internal[], 6, FALSE), "")</f>
        <v>100183.03</v>
      </c>
      <c r="G24" s="2">
        <f>IFERROR(VLOOKUP(A24, tbl_Custodian[], 5, FALSE), "")</f>
        <v>281</v>
      </c>
      <c r="H24" s="2">
        <f>IFERROR(VLOOKUP(A24, tbl_Custodian[], 6, FALSE), "")</f>
        <v>100183.03</v>
      </c>
      <c r="I24" s="13">
        <f t="shared" si="0"/>
        <v>0</v>
      </c>
      <c r="J24" s="2">
        <f t="shared" si="1"/>
        <v>0</v>
      </c>
      <c r="K24" s="9" t="str">
        <f t="shared" si="2"/>
        <v>MATCH</v>
      </c>
    </row>
    <row r="25" spans="1:11" x14ac:dyDescent="0.25">
      <c r="A25" s="11" t="str">
        <f>tbl_Internal[[#This Row],[Account]] &amp; "-" &amp; tbl_Internal[[#This Row],[Security]] &amp; "-" &amp; TEXT(tbl_Internal[[#This Row],[Date]],"yyyymmdd")</f>
        <v>A010-AAPL-20251029</v>
      </c>
      <c r="B25" s="32">
        <f>VLOOKUP(A25, tbl_Internal[], 2, FALSE)</f>
        <v>45959</v>
      </c>
      <c r="C25" s="34" t="str">
        <f>VLOOKUP(A25, tbl_Internal[], 3, FALSE)</f>
        <v>A010</v>
      </c>
      <c r="D25" s="34" t="str">
        <f>VLOOKUP(A25, tbl_Internal[], 4, FALSE)</f>
        <v>AAPL</v>
      </c>
      <c r="E25" s="2">
        <f>IFERROR(VLOOKUP(A25, tbl_Internal[], 5, FALSE), "")</f>
        <v>273</v>
      </c>
      <c r="F25" s="2">
        <f>IFERROR(VLOOKUP(A25, tbl_Internal[], 6, FALSE), "")</f>
        <v>68241.64</v>
      </c>
      <c r="G25" s="2">
        <f>IFERROR(VLOOKUP(A25, tbl_Custodian[], 5, FALSE), "")</f>
        <v>273</v>
      </c>
      <c r="H25" s="2">
        <f>IFERROR(VLOOKUP(A25, tbl_Custodian[], 6, FALSE), "")</f>
        <v>68241.64</v>
      </c>
      <c r="I25" s="13">
        <f t="shared" si="0"/>
        <v>0</v>
      </c>
      <c r="J25" s="2">
        <f t="shared" si="1"/>
        <v>0</v>
      </c>
      <c r="K25" s="9" t="str">
        <f t="shared" si="2"/>
        <v>MATCH</v>
      </c>
    </row>
    <row r="26" spans="1:11" x14ac:dyDescent="0.25">
      <c r="A26" s="10" t="str">
        <f>tbl_Internal[[#This Row],[Account]] &amp; "-" &amp; tbl_Internal[[#This Row],[Security]] &amp; "-" &amp; TEXT(tbl_Internal[[#This Row],[Date]],"yyyymmdd")</f>
        <v>A007-TSLA-20251008</v>
      </c>
      <c r="B26" s="32">
        <f>VLOOKUP(A26, tbl_Internal[], 2, FALSE)</f>
        <v>45938</v>
      </c>
      <c r="C26" s="34" t="str">
        <f>VLOOKUP(A26, tbl_Internal[], 3, FALSE)</f>
        <v>A007</v>
      </c>
      <c r="D26" s="34" t="str">
        <f>VLOOKUP(A26, tbl_Internal[], 4, FALSE)</f>
        <v>TSLA</v>
      </c>
      <c r="E26" s="2">
        <f>IFERROR(VLOOKUP(A26, tbl_Internal[], 5, FALSE), "")</f>
        <v>242</v>
      </c>
      <c r="F26" s="2">
        <f>IFERROR(VLOOKUP(A26, tbl_Internal[], 6, FALSE), "")</f>
        <v>102176.26</v>
      </c>
      <c r="G26" s="2">
        <f>IFERROR(VLOOKUP(A26, tbl_Custodian[], 5, FALSE), "")</f>
        <v>242</v>
      </c>
      <c r="H26" s="2">
        <f>IFERROR(VLOOKUP(A26, tbl_Custodian[], 6, FALSE), "")</f>
        <v>102176.26</v>
      </c>
      <c r="I26" s="13">
        <f t="shared" si="0"/>
        <v>0</v>
      </c>
      <c r="J26" s="2">
        <f t="shared" si="1"/>
        <v>0</v>
      </c>
      <c r="K26" s="9" t="str">
        <f t="shared" si="2"/>
        <v>MATCH</v>
      </c>
    </row>
    <row r="27" spans="1:11" x14ac:dyDescent="0.25">
      <c r="A27" s="11" t="str">
        <f>tbl_Internal[[#This Row],[Account]] &amp; "-" &amp; tbl_Internal[[#This Row],[Security]] &amp; "-" &amp; TEXT(tbl_Internal[[#This Row],[Date]],"yyyymmdd")</f>
        <v>A007-JPM-20251005</v>
      </c>
      <c r="B27" s="32">
        <f>VLOOKUP(A27, tbl_Internal[], 2, FALSE)</f>
        <v>45935</v>
      </c>
      <c r="C27" s="34" t="str">
        <f>VLOOKUP(A27, tbl_Internal[], 3, FALSE)</f>
        <v>A007</v>
      </c>
      <c r="D27" s="34" t="str">
        <f>VLOOKUP(A27, tbl_Internal[], 4, FALSE)</f>
        <v>JPM</v>
      </c>
      <c r="E27" s="2">
        <f>IFERROR(VLOOKUP(A27, tbl_Internal[], 5, FALSE), "")</f>
        <v>235</v>
      </c>
      <c r="F27" s="2">
        <f>IFERROR(VLOOKUP(A27, tbl_Internal[], 6, FALSE), "")</f>
        <v>115607.85</v>
      </c>
      <c r="G27" s="2">
        <f>IFERROR(VLOOKUP(A27, tbl_Custodian[], 5, FALSE), "")</f>
        <v>235</v>
      </c>
      <c r="H27" s="2">
        <f>IFERROR(VLOOKUP(A27, tbl_Custodian[], 6, FALSE), "")</f>
        <v>115607.85</v>
      </c>
      <c r="I27" s="13">
        <f t="shared" si="0"/>
        <v>0</v>
      </c>
      <c r="J27" s="2">
        <f t="shared" si="1"/>
        <v>0</v>
      </c>
      <c r="K27" s="9" t="str">
        <f t="shared" si="2"/>
        <v>MATCH</v>
      </c>
    </row>
    <row r="28" spans="1:11" x14ac:dyDescent="0.25">
      <c r="A28" s="10" t="str">
        <f>tbl_Internal[[#This Row],[Account]] &amp; "-" &amp; tbl_Internal[[#This Row],[Security]] &amp; "-" &amp; TEXT(tbl_Internal[[#This Row],[Date]],"yyyymmdd")</f>
        <v>A005-JPM-20251021</v>
      </c>
      <c r="B28" s="32">
        <f>VLOOKUP(A28, tbl_Internal[], 2, FALSE)</f>
        <v>45951</v>
      </c>
      <c r="C28" s="34" t="str">
        <f>VLOOKUP(A28, tbl_Internal[], 3, FALSE)</f>
        <v>A005</v>
      </c>
      <c r="D28" s="34" t="str">
        <f>VLOOKUP(A28, tbl_Internal[], 4, FALSE)</f>
        <v>JPM</v>
      </c>
      <c r="E28" s="2">
        <f>IFERROR(VLOOKUP(A28, tbl_Internal[], 5, FALSE), "")</f>
        <v>308</v>
      </c>
      <c r="F28" s="2">
        <f>IFERROR(VLOOKUP(A28, tbl_Internal[], 6, FALSE), "")</f>
        <v>43044.33</v>
      </c>
      <c r="G28" s="2">
        <f>IFERROR(VLOOKUP(A28, tbl_Custodian[], 5, FALSE), "")</f>
        <v>308</v>
      </c>
      <c r="H28" s="2">
        <f>IFERROR(VLOOKUP(A28, tbl_Custodian[], 6, FALSE), "")</f>
        <v>43044.33</v>
      </c>
      <c r="I28" s="13">
        <f t="shared" si="0"/>
        <v>0</v>
      </c>
      <c r="J28" s="2">
        <f t="shared" si="1"/>
        <v>0</v>
      </c>
      <c r="K28" s="9" t="str">
        <f t="shared" si="2"/>
        <v>MATCH</v>
      </c>
    </row>
    <row r="29" spans="1:11" x14ac:dyDescent="0.25">
      <c r="A29" s="11" t="str">
        <f>tbl_Internal[[#This Row],[Account]] &amp; "-" &amp; tbl_Internal[[#This Row],[Security]] &amp; "-" &amp; TEXT(tbl_Internal[[#This Row],[Date]],"yyyymmdd")</f>
        <v>A005-META-20251020</v>
      </c>
      <c r="B29" s="32">
        <f>VLOOKUP(A29, tbl_Internal[], 2, FALSE)</f>
        <v>45950</v>
      </c>
      <c r="C29" s="34" t="str">
        <f>VLOOKUP(A29, tbl_Internal[], 3, FALSE)</f>
        <v>A005</v>
      </c>
      <c r="D29" s="34" t="str">
        <f>VLOOKUP(A29, tbl_Internal[], 4, FALSE)</f>
        <v>META</v>
      </c>
      <c r="E29" s="2">
        <f>IFERROR(VLOOKUP(A29, tbl_Internal[], 5, FALSE), "")</f>
        <v>181</v>
      </c>
      <c r="F29" s="2">
        <f>IFERROR(VLOOKUP(A29, tbl_Internal[], 6, FALSE), "")</f>
        <v>87911.52</v>
      </c>
      <c r="G29" s="2">
        <f>IFERROR(VLOOKUP(A29, tbl_Custodian[], 5, FALSE), "")</f>
        <v>181</v>
      </c>
      <c r="H29" s="2">
        <f>IFERROR(VLOOKUP(A29, tbl_Custodian[], 6, FALSE), "")</f>
        <v>87911.52</v>
      </c>
      <c r="I29" s="13">
        <f t="shared" si="0"/>
        <v>0</v>
      </c>
      <c r="J29" s="2">
        <f t="shared" si="1"/>
        <v>0</v>
      </c>
      <c r="K29" s="9" t="str">
        <f t="shared" si="2"/>
        <v>MATCH</v>
      </c>
    </row>
    <row r="30" spans="1:11" x14ac:dyDescent="0.25">
      <c r="A30" s="10" t="str">
        <f>tbl_Internal[[#This Row],[Account]] &amp; "-" &amp; tbl_Internal[[#This Row],[Security]] &amp; "-" &amp; TEXT(tbl_Internal[[#This Row],[Date]],"yyyymmdd")</f>
        <v>A009-NFLX-20251011</v>
      </c>
      <c r="B30" s="32">
        <f>VLOOKUP(A30, tbl_Internal[], 2, FALSE)</f>
        <v>45941</v>
      </c>
      <c r="C30" s="34" t="str">
        <f>VLOOKUP(A30, tbl_Internal[], 3, FALSE)</f>
        <v>A009</v>
      </c>
      <c r="D30" s="34" t="str">
        <f>VLOOKUP(A30, tbl_Internal[], 4, FALSE)</f>
        <v>NFLX</v>
      </c>
      <c r="E30" s="2">
        <f>IFERROR(VLOOKUP(A30, tbl_Internal[], 5, FALSE), "")</f>
        <v>53</v>
      </c>
      <c r="F30" s="2">
        <f>IFERROR(VLOOKUP(A30, tbl_Internal[], 6, FALSE), "")</f>
        <v>23412.61</v>
      </c>
      <c r="G30" s="2">
        <f>IFERROR(VLOOKUP(A30, tbl_Custodian[], 5, FALSE), "")</f>
        <v>53</v>
      </c>
      <c r="H30" s="2">
        <f>IFERROR(VLOOKUP(A30, tbl_Custodian[], 6, FALSE), "")</f>
        <v>23412.61</v>
      </c>
      <c r="I30" s="13">
        <f t="shared" si="0"/>
        <v>0</v>
      </c>
      <c r="J30" s="2">
        <f t="shared" si="1"/>
        <v>0</v>
      </c>
      <c r="K30" s="9" t="str">
        <f t="shared" si="2"/>
        <v>MATCH</v>
      </c>
    </row>
    <row r="31" spans="1:11" x14ac:dyDescent="0.25">
      <c r="A31" s="11" t="str">
        <f>tbl_Internal[[#This Row],[Account]] &amp; "-" &amp; tbl_Internal[[#This Row],[Security]] &amp; "-" &amp; TEXT(tbl_Internal[[#This Row],[Date]],"yyyymmdd")</f>
        <v>A010-MSFT-20251029</v>
      </c>
      <c r="B31" s="32">
        <f>VLOOKUP(A31, tbl_Internal[], 2, FALSE)</f>
        <v>45959</v>
      </c>
      <c r="C31" s="34" t="str">
        <f>VLOOKUP(A31, tbl_Internal[], 3, FALSE)</f>
        <v>A010</v>
      </c>
      <c r="D31" s="34" t="str">
        <f>VLOOKUP(A31, tbl_Internal[], 4, FALSE)</f>
        <v>MSFT</v>
      </c>
      <c r="E31" s="2">
        <f>IFERROR(VLOOKUP(A31, tbl_Internal[], 5, FALSE), "")</f>
        <v>377</v>
      </c>
      <c r="F31" s="2">
        <f>IFERROR(VLOOKUP(A31, tbl_Internal[], 6, FALSE), "")</f>
        <v>52014.21</v>
      </c>
      <c r="G31" s="2">
        <f>IFERROR(VLOOKUP(A31, tbl_Custodian[], 5, FALSE), "")</f>
        <v>377</v>
      </c>
      <c r="H31" s="2">
        <f>IFERROR(VLOOKUP(A31, tbl_Custodian[], 6, FALSE), "")</f>
        <v>52014.21</v>
      </c>
      <c r="I31" s="13">
        <f t="shared" si="0"/>
        <v>0</v>
      </c>
      <c r="J31" s="2">
        <f t="shared" si="1"/>
        <v>0</v>
      </c>
      <c r="K31" s="9" t="str">
        <f t="shared" si="2"/>
        <v>MATCH</v>
      </c>
    </row>
    <row r="32" spans="1:11" x14ac:dyDescent="0.25">
      <c r="A32" s="10" t="str">
        <f>tbl_Internal[[#This Row],[Account]] &amp; "-" &amp; tbl_Internal[[#This Row],[Security]] &amp; "-" &amp; TEXT(tbl_Internal[[#This Row],[Date]],"yyyymmdd")</f>
        <v>A002-GOOGL-20251029</v>
      </c>
      <c r="B32" s="32">
        <f>VLOOKUP(A32, tbl_Internal[], 2, FALSE)</f>
        <v>45959</v>
      </c>
      <c r="C32" s="34" t="str">
        <f>VLOOKUP(A32, tbl_Internal[], 3, FALSE)</f>
        <v>A002</v>
      </c>
      <c r="D32" s="34" t="str">
        <f>VLOOKUP(A32, tbl_Internal[], 4, FALSE)</f>
        <v>GOOGL</v>
      </c>
      <c r="E32" s="2">
        <f>IFERROR(VLOOKUP(A32, tbl_Internal[], 5, FALSE), "")</f>
        <v>129</v>
      </c>
      <c r="F32" s="2">
        <f>IFERROR(VLOOKUP(A32, tbl_Internal[], 6, FALSE), "")</f>
        <v>58130.86</v>
      </c>
      <c r="G32" s="2">
        <f>IFERROR(VLOOKUP(A32, tbl_Custodian[], 5, FALSE), "")</f>
        <v>129</v>
      </c>
      <c r="H32" s="2">
        <f>IFERROR(VLOOKUP(A32, tbl_Custodian[], 6, FALSE), "")</f>
        <v>58130.86</v>
      </c>
      <c r="I32" s="13">
        <f t="shared" si="0"/>
        <v>0</v>
      </c>
      <c r="J32" s="2">
        <f t="shared" si="1"/>
        <v>0</v>
      </c>
      <c r="K32" s="9" t="str">
        <f t="shared" si="2"/>
        <v>MATCH</v>
      </c>
    </row>
    <row r="33" spans="1:11" x14ac:dyDescent="0.25">
      <c r="A33" s="11" t="str">
        <f>tbl_Internal[[#This Row],[Account]] &amp; "-" &amp; tbl_Internal[[#This Row],[Security]] &amp; "-" &amp; TEXT(tbl_Internal[[#This Row],[Date]],"yyyymmdd")</f>
        <v>A006-AMZN-20251008</v>
      </c>
      <c r="B33" s="32">
        <f>VLOOKUP(A33, tbl_Internal[], 2, FALSE)</f>
        <v>45938</v>
      </c>
      <c r="C33" s="34" t="str">
        <f>VLOOKUP(A33, tbl_Internal[], 3, FALSE)</f>
        <v>A006</v>
      </c>
      <c r="D33" s="34" t="str">
        <f>VLOOKUP(A33, tbl_Internal[], 4, FALSE)</f>
        <v>AMZN</v>
      </c>
      <c r="E33" s="2">
        <f>IFERROR(VLOOKUP(A33, tbl_Internal[], 5, FALSE), "")</f>
        <v>342</v>
      </c>
      <c r="F33" s="2">
        <f>IFERROR(VLOOKUP(A33, tbl_Internal[], 6, FALSE), "")</f>
        <v>99738.03</v>
      </c>
      <c r="G33" s="2">
        <f>IFERROR(VLOOKUP(A33, tbl_Custodian[], 5, FALSE), "")</f>
        <v>342</v>
      </c>
      <c r="H33" s="2">
        <f>IFERROR(VLOOKUP(A33, tbl_Custodian[], 6, FALSE), "")</f>
        <v>99738.03</v>
      </c>
      <c r="I33" s="13">
        <f t="shared" si="0"/>
        <v>0</v>
      </c>
      <c r="J33" s="2">
        <f t="shared" si="1"/>
        <v>0</v>
      </c>
      <c r="K33" s="9" t="str">
        <f t="shared" si="2"/>
        <v>MATCH</v>
      </c>
    </row>
    <row r="34" spans="1:11" x14ac:dyDescent="0.25">
      <c r="A34" s="10" t="str">
        <f>tbl_Internal[[#This Row],[Account]] &amp; "-" &amp; tbl_Internal[[#This Row],[Security]] &amp; "-" &amp; TEXT(tbl_Internal[[#This Row],[Date]],"yyyymmdd")</f>
        <v>A002-BABA-20251025</v>
      </c>
      <c r="B34" s="32">
        <f>VLOOKUP(A34, tbl_Internal[], 2, FALSE)</f>
        <v>45955</v>
      </c>
      <c r="C34" s="34" t="str">
        <f>VLOOKUP(A34, tbl_Internal[], 3, FALSE)</f>
        <v>A002</v>
      </c>
      <c r="D34" s="34" t="str">
        <f>VLOOKUP(A34, tbl_Internal[], 4, FALSE)</f>
        <v>BABA</v>
      </c>
      <c r="E34" s="2">
        <f>IFERROR(VLOOKUP(A34, tbl_Internal[], 5, FALSE), "")</f>
        <v>85</v>
      </c>
      <c r="F34" s="2">
        <f>IFERROR(VLOOKUP(A34, tbl_Internal[], 6, FALSE), "")</f>
        <v>8903.52</v>
      </c>
      <c r="G34" s="2">
        <f>IFERROR(VLOOKUP(A34, tbl_Custodian[], 5, FALSE), "")</f>
        <v>85</v>
      </c>
      <c r="H34" s="2">
        <f>IFERROR(VLOOKUP(A34, tbl_Custodian[], 6, FALSE), "")</f>
        <v>8903.52</v>
      </c>
      <c r="I34" s="13">
        <f t="shared" si="0"/>
        <v>0</v>
      </c>
      <c r="J34" s="2">
        <f t="shared" si="1"/>
        <v>0</v>
      </c>
      <c r="K34" s="9" t="str">
        <f t="shared" si="2"/>
        <v>MATCH</v>
      </c>
    </row>
    <row r="35" spans="1:11" x14ac:dyDescent="0.25">
      <c r="A35" s="11" t="str">
        <f>tbl_Internal[[#This Row],[Account]] &amp; "-" &amp; tbl_Internal[[#This Row],[Security]] &amp; "-" &amp; TEXT(tbl_Internal[[#This Row],[Date]],"yyyymmdd")</f>
        <v>A005-BABA-20251026</v>
      </c>
      <c r="B35" s="32">
        <f>VLOOKUP(A35, tbl_Internal[], 2, FALSE)</f>
        <v>45956</v>
      </c>
      <c r="C35" s="34" t="str">
        <f>VLOOKUP(A35, tbl_Internal[], 3, FALSE)</f>
        <v>A005</v>
      </c>
      <c r="D35" s="34" t="str">
        <f>VLOOKUP(A35, tbl_Internal[], 4, FALSE)</f>
        <v>BABA</v>
      </c>
      <c r="E35" s="2">
        <f>IFERROR(VLOOKUP(A35, tbl_Internal[], 5, FALSE), "")</f>
        <v>498</v>
      </c>
      <c r="F35" s="2">
        <f>IFERROR(VLOOKUP(A35, tbl_Internal[], 6, FALSE), "")</f>
        <v>66488.899999999994</v>
      </c>
      <c r="G35" s="2">
        <f>IFERROR(VLOOKUP(A35, tbl_Custodian[], 5, FALSE), "")</f>
        <v>498</v>
      </c>
      <c r="H35" s="2">
        <f>IFERROR(VLOOKUP(A35, tbl_Custodian[], 6, FALSE), "")</f>
        <v>66488.899999999994</v>
      </c>
      <c r="I35" s="13">
        <f t="shared" si="0"/>
        <v>0</v>
      </c>
      <c r="J35" s="2">
        <f t="shared" si="1"/>
        <v>0</v>
      </c>
      <c r="K35" s="9" t="str">
        <f t="shared" si="2"/>
        <v>MATCH</v>
      </c>
    </row>
    <row r="36" spans="1:11" x14ac:dyDescent="0.25">
      <c r="A36" s="10" t="str">
        <f>tbl_Internal[[#This Row],[Account]] &amp; "-" &amp; tbl_Internal[[#This Row],[Security]] &amp; "-" &amp; TEXT(tbl_Internal[[#This Row],[Date]],"yyyymmdd")</f>
        <v>A008-META-20251030</v>
      </c>
      <c r="B36" s="32">
        <f>VLOOKUP(A36, tbl_Internal[], 2, FALSE)</f>
        <v>45960</v>
      </c>
      <c r="C36" s="34" t="str">
        <f>VLOOKUP(A36, tbl_Internal[], 3, FALSE)</f>
        <v>A008</v>
      </c>
      <c r="D36" s="34" t="str">
        <f>VLOOKUP(A36, tbl_Internal[], 4, FALSE)</f>
        <v>META</v>
      </c>
      <c r="E36" s="2">
        <f>IFERROR(VLOOKUP(A36, tbl_Internal[], 5, FALSE), "")</f>
        <v>463</v>
      </c>
      <c r="F36" s="2">
        <f>IFERROR(VLOOKUP(A36, tbl_Internal[], 6, FALSE), "")</f>
        <v>147338.91</v>
      </c>
      <c r="G36" s="2">
        <f>IFERROR(VLOOKUP(A36, tbl_Custodian[], 5, FALSE), "")</f>
        <v>463</v>
      </c>
      <c r="H36" s="2">
        <f>IFERROR(VLOOKUP(A36, tbl_Custodian[], 6, FALSE), "")</f>
        <v>147338.91</v>
      </c>
      <c r="I36" s="13">
        <f t="shared" si="0"/>
        <v>0</v>
      </c>
      <c r="J36" s="2">
        <f t="shared" si="1"/>
        <v>0</v>
      </c>
      <c r="K36" s="9" t="str">
        <f t="shared" si="2"/>
        <v>MATCH</v>
      </c>
    </row>
    <row r="37" spans="1:11" x14ac:dyDescent="0.25">
      <c r="A37" s="11" t="str">
        <f>tbl_Internal[[#This Row],[Account]] &amp; "-" &amp; tbl_Internal[[#This Row],[Security]] &amp; "-" &amp; TEXT(tbl_Internal[[#This Row],[Date]],"yyyymmdd")</f>
        <v>A006-GOOGL-20251002</v>
      </c>
      <c r="B37" s="32">
        <f>VLOOKUP(A37, tbl_Internal[], 2, FALSE)</f>
        <v>45932</v>
      </c>
      <c r="C37" s="34" t="str">
        <f>VLOOKUP(A37, tbl_Internal[], 3, FALSE)</f>
        <v>A006</v>
      </c>
      <c r="D37" s="34" t="str">
        <f>VLOOKUP(A37, tbl_Internal[], 4, FALSE)</f>
        <v>GOOGL</v>
      </c>
      <c r="E37" s="2">
        <f>IFERROR(VLOOKUP(A37, tbl_Internal[], 5, FALSE), "")</f>
        <v>266</v>
      </c>
      <c r="F37" s="2">
        <f>IFERROR(VLOOKUP(A37, tbl_Internal[], 6, FALSE), "")</f>
        <v>40024.97</v>
      </c>
      <c r="G37" s="2">
        <f>IFERROR(VLOOKUP(A37, tbl_Custodian[], 5, FALSE), "")</f>
        <v>266</v>
      </c>
      <c r="H37" s="2">
        <f>IFERROR(VLOOKUP(A37, tbl_Custodian[], 6, FALSE), "")</f>
        <v>40024.97</v>
      </c>
      <c r="I37" s="13">
        <f t="shared" si="0"/>
        <v>0</v>
      </c>
      <c r="J37" s="2">
        <f t="shared" si="1"/>
        <v>0</v>
      </c>
      <c r="K37" s="9" t="str">
        <f t="shared" si="2"/>
        <v>MATCH</v>
      </c>
    </row>
    <row r="38" spans="1:11" x14ac:dyDescent="0.25">
      <c r="A38" s="10" t="str">
        <f>tbl_Internal[[#This Row],[Account]] &amp; "-" &amp; tbl_Internal[[#This Row],[Security]] &amp; "-" &amp; TEXT(tbl_Internal[[#This Row],[Date]],"yyyymmdd")</f>
        <v>A002-META-20251015</v>
      </c>
      <c r="B38" s="32">
        <f>VLOOKUP(A38, tbl_Internal[], 2, FALSE)</f>
        <v>45945</v>
      </c>
      <c r="C38" s="34" t="str">
        <f>VLOOKUP(A38, tbl_Internal[], 3, FALSE)</f>
        <v>A002</v>
      </c>
      <c r="D38" s="34" t="str">
        <f>VLOOKUP(A38, tbl_Internal[], 4, FALSE)</f>
        <v>META</v>
      </c>
      <c r="E38" s="2">
        <f>IFERROR(VLOOKUP(A38, tbl_Internal[], 5, FALSE), "")</f>
        <v>96</v>
      </c>
      <c r="F38" s="2">
        <f>IFERROR(VLOOKUP(A38, tbl_Internal[], 6, FALSE), "")</f>
        <v>9058.73</v>
      </c>
      <c r="G38" s="2">
        <f>IFERROR(VLOOKUP(A38, tbl_Custodian[], 5, FALSE), "")</f>
        <v>96</v>
      </c>
      <c r="H38" s="2">
        <f>IFERROR(VLOOKUP(A38, tbl_Custodian[], 6, FALSE), "")</f>
        <v>9058.73</v>
      </c>
      <c r="I38" s="13">
        <f t="shared" si="0"/>
        <v>0</v>
      </c>
      <c r="J38" s="2">
        <f t="shared" si="1"/>
        <v>0</v>
      </c>
      <c r="K38" s="9" t="str">
        <f t="shared" si="2"/>
        <v>MATCH</v>
      </c>
    </row>
    <row r="39" spans="1:11" x14ac:dyDescent="0.25">
      <c r="A39" s="11" t="str">
        <f>tbl_Internal[[#This Row],[Account]] &amp; "-" &amp; tbl_Internal[[#This Row],[Security]] &amp; "-" &amp; TEXT(tbl_Internal[[#This Row],[Date]],"yyyymmdd")</f>
        <v>A005-NVDA-20251015</v>
      </c>
      <c r="B39" s="32">
        <f>VLOOKUP(A39, tbl_Internal[], 2, FALSE)</f>
        <v>45945</v>
      </c>
      <c r="C39" s="34" t="str">
        <f>VLOOKUP(A39, tbl_Internal[], 3, FALSE)</f>
        <v>A005</v>
      </c>
      <c r="D39" s="34" t="str">
        <f>VLOOKUP(A39, tbl_Internal[], 4, FALSE)</f>
        <v>NVDA</v>
      </c>
      <c r="E39" s="2">
        <f>IFERROR(VLOOKUP(A39, tbl_Internal[], 5, FALSE), "")</f>
        <v>319</v>
      </c>
      <c r="F39" s="2">
        <f>IFERROR(VLOOKUP(A39, tbl_Internal[], 6, FALSE), "")</f>
        <v>125642.88</v>
      </c>
      <c r="G39" s="2">
        <f>IFERROR(VLOOKUP(A39, tbl_Custodian[], 5, FALSE), "")</f>
        <v>319</v>
      </c>
      <c r="H39" s="2">
        <f>IFERROR(VLOOKUP(A39, tbl_Custodian[], 6, FALSE), "")</f>
        <v>125642.88</v>
      </c>
      <c r="I39" s="13">
        <f t="shared" si="0"/>
        <v>0</v>
      </c>
      <c r="J39" s="2">
        <f t="shared" si="1"/>
        <v>0</v>
      </c>
      <c r="K39" s="9" t="str">
        <f t="shared" si="2"/>
        <v>MATCH</v>
      </c>
    </row>
    <row r="40" spans="1:11" x14ac:dyDescent="0.25">
      <c r="A40" s="10" t="str">
        <f>tbl_Internal[[#This Row],[Account]] &amp; "-" &amp; tbl_Internal[[#This Row],[Security]] &amp; "-" &amp; TEXT(tbl_Internal[[#This Row],[Date]],"yyyymmdd")</f>
        <v>A005-NVDA-20251014</v>
      </c>
      <c r="B40" s="32">
        <f>VLOOKUP(A40, tbl_Internal[], 2, FALSE)</f>
        <v>45944</v>
      </c>
      <c r="C40" s="34" t="str">
        <f>VLOOKUP(A40, tbl_Internal[], 3, FALSE)</f>
        <v>A005</v>
      </c>
      <c r="D40" s="34" t="str">
        <f>VLOOKUP(A40, tbl_Internal[], 4, FALSE)</f>
        <v>NVDA</v>
      </c>
      <c r="E40" s="2">
        <f>IFERROR(VLOOKUP(A40, tbl_Internal[], 5, FALSE), "")</f>
        <v>153</v>
      </c>
      <c r="F40" s="2">
        <f>IFERROR(VLOOKUP(A40, tbl_Internal[], 6, FALSE), "")</f>
        <v>61211.14</v>
      </c>
      <c r="G40" s="2">
        <f>IFERROR(VLOOKUP(A40, tbl_Custodian[], 5, FALSE), "")</f>
        <v>153</v>
      </c>
      <c r="H40" s="2">
        <f>IFERROR(VLOOKUP(A40, tbl_Custodian[], 6, FALSE), "")</f>
        <v>61211.14</v>
      </c>
      <c r="I40" s="13">
        <f t="shared" si="0"/>
        <v>0</v>
      </c>
      <c r="J40" s="2">
        <f t="shared" si="1"/>
        <v>0</v>
      </c>
      <c r="K40" s="9" t="str">
        <f t="shared" si="2"/>
        <v>MATCH</v>
      </c>
    </row>
    <row r="41" spans="1:11" x14ac:dyDescent="0.25">
      <c r="A41" s="11" t="str">
        <f>tbl_Internal[[#This Row],[Account]] &amp; "-" &amp; tbl_Internal[[#This Row],[Security]] &amp; "-" &amp; TEXT(tbl_Internal[[#This Row],[Date]],"yyyymmdd")</f>
        <v>A010-NFLX-20251005</v>
      </c>
      <c r="B41" s="32">
        <f>VLOOKUP(A41, tbl_Internal[], 2, FALSE)</f>
        <v>45935</v>
      </c>
      <c r="C41" s="34" t="str">
        <f>VLOOKUP(A41, tbl_Internal[], 3, FALSE)</f>
        <v>A010</v>
      </c>
      <c r="D41" s="34" t="str">
        <f>VLOOKUP(A41, tbl_Internal[], 4, FALSE)</f>
        <v>NFLX</v>
      </c>
      <c r="E41" s="2">
        <f>IFERROR(VLOOKUP(A41, tbl_Internal[], 5, FALSE), "")</f>
        <v>488</v>
      </c>
      <c r="F41" s="2">
        <f>IFERROR(VLOOKUP(A41, tbl_Internal[], 6, FALSE), "")</f>
        <v>207633.81</v>
      </c>
      <c r="G41" s="2">
        <f>IFERROR(VLOOKUP(A41, tbl_Custodian[], 5, FALSE), "")</f>
        <v>488</v>
      </c>
      <c r="H41" s="2">
        <f>IFERROR(VLOOKUP(A41, tbl_Custodian[], 6, FALSE), "")</f>
        <v>207633.81</v>
      </c>
      <c r="I41" s="13">
        <f t="shared" si="0"/>
        <v>0</v>
      </c>
      <c r="J41" s="2">
        <f t="shared" si="1"/>
        <v>0</v>
      </c>
      <c r="K41" s="9" t="str">
        <f t="shared" si="2"/>
        <v>MATCH</v>
      </c>
    </row>
    <row r="42" spans="1:11" x14ac:dyDescent="0.25">
      <c r="A42" s="10" t="str">
        <f>tbl_Internal[[#This Row],[Account]] &amp; "-" &amp; tbl_Internal[[#This Row],[Security]] &amp; "-" &amp; TEXT(tbl_Internal[[#This Row],[Date]],"yyyymmdd")</f>
        <v>A003-AMZN-20251030</v>
      </c>
      <c r="B42" s="32">
        <f>VLOOKUP(A42, tbl_Internal[], 2, FALSE)</f>
        <v>45960</v>
      </c>
      <c r="C42" s="34" t="str">
        <f>VLOOKUP(A42, tbl_Internal[], 3, FALSE)</f>
        <v>A003</v>
      </c>
      <c r="D42" s="34" t="str">
        <f>VLOOKUP(A42, tbl_Internal[], 4, FALSE)</f>
        <v>AMZN</v>
      </c>
      <c r="E42" s="2">
        <f>IFERROR(VLOOKUP(A42, tbl_Internal[], 5, FALSE), "")</f>
        <v>290</v>
      </c>
      <c r="F42" s="2">
        <f>IFERROR(VLOOKUP(A42, tbl_Internal[], 6, FALSE), "")</f>
        <v>117792.68</v>
      </c>
      <c r="G42" s="2">
        <f>IFERROR(VLOOKUP(A42, tbl_Custodian[], 5, FALSE), "")</f>
        <v>290</v>
      </c>
      <c r="H42" s="2">
        <f>IFERROR(VLOOKUP(A42, tbl_Custodian[], 6, FALSE), "")</f>
        <v>117792.68</v>
      </c>
      <c r="I42" s="13">
        <f t="shared" si="0"/>
        <v>0</v>
      </c>
      <c r="J42" s="2">
        <f t="shared" si="1"/>
        <v>0</v>
      </c>
      <c r="K42" s="9" t="str">
        <f t="shared" si="2"/>
        <v>MATCH</v>
      </c>
    </row>
    <row r="43" spans="1:11" x14ac:dyDescent="0.25">
      <c r="A43" s="11" t="str">
        <f>tbl_Internal[[#This Row],[Account]] &amp; "-" &amp; tbl_Internal[[#This Row],[Security]] &amp; "-" &amp; TEXT(tbl_Internal[[#This Row],[Date]],"yyyymmdd")</f>
        <v>A010-META-20251004</v>
      </c>
      <c r="B43" s="32">
        <f>VLOOKUP(A43, tbl_Internal[], 2, FALSE)</f>
        <v>45934</v>
      </c>
      <c r="C43" s="34" t="str">
        <f>VLOOKUP(A43, tbl_Internal[], 3, FALSE)</f>
        <v>A010</v>
      </c>
      <c r="D43" s="34" t="str">
        <f>VLOOKUP(A43, tbl_Internal[], 4, FALSE)</f>
        <v>META</v>
      </c>
      <c r="E43" s="2">
        <f>IFERROR(VLOOKUP(A43, tbl_Internal[], 5, FALSE), "")</f>
        <v>329</v>
      </c>
      <c r="F43" s="2">
        <f>IFERROR(VLOOKUP(A43, tbl_Internal[], 6, FALSE), "")</f>
        <v>159900.10999999999</v>
      </c>
      <c r="G43" s="2">
        <f>IFERROR(VLOOKUP(A43, tbl_Custodian[], 5, FALSE), "")</f>
        <v>329</v>
      </c>
      <c r="H43" s="2">
        <f>IFERROR(VLOOKUP(A43, tbl_Custodian[], 6, FALSE), "")</f>
        <v>159900.10999999999</v>
      </c>
      <c r="I43" s="13">
        <f t="shared" si="0"/>
        <v>0</v>
      </c>
      <c r="J43" s="2">
        <f t="shared" si="1"/>
        <v>0</v>
      </c>
      <c r="K43" s="9" t="str">
        <f t="shared" si="2"/>
        <v>MATCH</v>
      </c>
    </row>
    <row r="44" spans="1:11" x14ac:dyDescent="0.25">
      <c r="A44" s="10" t="str">
        <f>tbl_Internal[[#This Row],[Account]] &amp; "-" &amp; tbl_Internal[[#This Row],[Security]] &amp; "-" &amp; TEXT(tbl_Internal[[#This Row],[Date]],"yyyymmdd")</f>
        <v>A009-TSLA-20251004</v>
      </c>
      <c r="B44" s="32">
        <f>VLOOKUP(A44, tbl_Internal[], 2, FALSE)</f>
        <v>45934</v>
      </c>
      <c r="C44" s="34" t="str">
        <f>VLOOKUP(A44, tbl_Internal[], 3, FALSE)</f>
        <v>A009</v>
      </c>
      <c r="D44" s="34" t="str">
        <f>VLOOKUP(A44, tbl_Internal[], 4, FALSE)</f>
        <v>TSLA</v>
      </c>
      <c r="E44" s="2">
        <f>IFERROR(VLOOKUP(A44, tbl_Internal[], 5, FALSE), "")</f>
        <v>142</v>
      </c>
      <c r="F44" s="2">
        <f>IFERROR(VLOOKUP(A44, tbl_Internal[], 6, FALSE), "")</f>
        <v>27414.16</v>
      </c>
      <c r="G44" s="2">
        <f>IFERROR(VLOOKUP(A44, tbl_Custodian[], 5, FALSE), "")</f>
        <v>142</v>
      </c>
      <c r="H44" s="2">
        <f>IFERROR(VLOOKUP(A44, tbl_Custodian[], 6, FALSE), "")</f>
        <v>27414.16</v>
      </c>
      <c r="I44" s="13">
        <f t="shared" si="0"/>
        <v>0</v>
      </c>
      <c r="J44" s="2">
        <f t="shared" si="1"/>
        <v>0</v>
      </c>
      <c r="K44" s="9" t="str">
        <f t="shared" si="2"/>
        <v>MATCH</v>
      </c>
    </row>
    <row r="45" spans="1:11" x14ac:dyDescent="0.25">
      <c r="A45" s="11" t="str">
        <f>tbl_Internal[[#This Row],[Account]] &amp; "-" &amp; tbl_Internal[[#This Row],[Security]] &amp; "-" &amp; TEXT(tbl_Internal[[#This Row],[Date]],"yyyymmdd")</f>
        <v>A002-BABA-20251013</v>
      </c>
      <c r="B45" s="32">
        <f>VLOOKUP(A45, tbl_Internal[], 2, FALSE)</f>
        <v>45943</v>
      </c>
      <c r="C45" s="34" t="str">
        <f>VLOOKUP(A45, tbl_Internal[], 3, FALSE)</f>
        <v>A002</v>
      </c>
      <c r="D45" s="34" t="str">
        <f>VLOOKUP(A45, tbl_Internal[], 4, FALSE)</f>
        <v>BABA</v>
      </c>
      <c r="E45" s="2">
        <f>IFERROR(VLOOKUP(A45, tbl_Internal[], 5, FALSE), "")</f>
        <v>89</v>
      </c>
      <c r="F45" s="2">
        <f>IFERROR(VLOOKUP(A45, tbl_Internal[], 6, FALSE), "")</f>
        <v>26436.54</v>
      </c>
      <c r="G45" s="2">
        <f>IFERROR(VLOOKUP(A45, tbl_Custodian[], 5, FALSE), "")</f>
        <v>89</v>
      </c>
      <c r="H45" s="2">
        <f>IFERROR(VLOOKUP(A45, tbl_Custodian[], 6, FALSE), "")</f>
        <v>26500.6233890207</v>
      </c>
      <c r="I45" s="13">
        <f t="shared" si="0"/>
        <v>0</v>
      </c>
      <c r="J45" s="2">
        <f t="shared" si="1"/>
        <v>-64.083389020699542</v>
      </c>
      <c r="K45" s="9" t="str">
        <f t="shared" si="2"/>
        <v>MISMATCH</v>
      </c>
    </row>
    <row r="46" spans="1:11" x14ac:dyDescent="0.25">
      <c r="A46" s="10" t="str">
        <f>tbl_Internal[[#This Row],[Account]] &amp; "-" &amp; tbl_Internal[[#This Row],[Security]] &amp; "-" &amp; TEXT(tbl_Internal[[#This Row],[Date]],"yyyymmdd")</f>
        <v>A007-META-20251022</v>
      </c>
      <c r="B46" s="32">
        <f>VLOOKUP(A46, tbl_Internal[], 2, FALSE)</f>
        <v>45952</v>
      </c>
      <c r="C46" s="34" t="str">
        <f>VLOOKUP(A46, tbl_Internal[], 3, FALSE)</f>
        <v>A007</v>
      </c>
      <c r="D46" s="34" t="str">
        <f>VLOOKUP(A46, tbl_Internal[], 4, FALSE)</f>
        <v>META</v>
      </c>
      <c r="E46" s="2">
        <f>IFERROR(VLOOKUP(A46, tbl_Internal[], 5, FALSE), "")</f>
        <v>432</v>
      </c>
      <c r="F46" s="2">
        <f>IFERROR(VLOOKUP(A46, tbl_Internal[], 6, FALSE), "")</f>
        <v>205232.96</v>
      </c>
      <c r="G46" s="2">
        <f>IFERROR(VLOOKUP(A46, tbl_Custodian[], 5, FALSE), "")</f>
        <v>432</v>
      </c>
      <c r="H46" s="2">
        <f>IFERROR(VLOOKUP(A46, tbl_Custodian[], 6, FALSE), "")</f>
        <v>205232.96</v>
      </c>
      <c r="I46" s="13">
        <f t="shared" si="0"/>
        <v>0</v>
      </c>
      <c r="J46" s="2">
        <f t="shared" si="1"/>
        <v>0</v>
      </c>
      <c r="K46" s="9" t="str">
        <f t="shared" si="2"/>
        <v>MATCH</v>
      </c>
    </row>
    <row r="47" spans="1:11" x14ac:dyDescent="0.25">
      <c r="A47" s="11" t="str">
        <f>tbl_Internal[[#This Row],[Account]] &amp; "-" &amp; tbl_Internal[[#This Row],[Security]] &amp; "-" &amp; TEXT(tbl_Internal[[#This Row],[Date]],"yyyymmdd")</f>
        <v>A010-NVDA-20251002</v>
      </c>
      <c r="B47" s="32">
        <f>VLOOKUP(A47, tbl_Internal[], 2, FALSE)</f>
        <v>45932</v>
      </c>
      <c r="C47" s="34" t="str">
        <f>VLOOKUP(A47, tbl_Internal[], 3, FALSE)</f>
        <v>A010</v>
      </c>
      <c r="D47" s="34" t="str">
        <f>VLOOKUP(A47, tbl_Internal[], 4, FALSE)</f>
        <v>NVDA</v>
      </c>
      <c r="E47" s="2">
        <f>IFERROR(VLOOKUP(A47, tbl_Internal[], 5, FALSE), "")</f>
        <v>223</v>
      </c>
      <c r="F47" s="2">
        <f>IFERROR(VLOOKUP(A47, tbl_Internal[], 6, FALSE), "")</f>
        <v>75896.03</v>
      </c>
      <c r="G47" s="2">
        <f>IFERROR(VLOOKUP(A47, tbl_Custodian[], 5, FALSE), "")</f>
        <v>223</v>
      </c>
      <c r="H47" s="2">
        <f>IFERROR(VLOOKUP(A47, tbl_Custodian[], 6, FALSE), "")</f>
        <v>75896.03</v>
      </c>
      <c r="I47" s="13">
        <f t="shared" si="0"/>
        <v>0</v>
      </c>
      <c r="J47" s="2">
        <f t="shared" si="1"/>
        <v>0</v>
      </c>
      <c r="K47" s="9" t="str">
        <f t="shared" si="2"/>
        <v>MATCH</v>
      </c>
    </row>
    <row r="48" spans="1:11" x14ac:dyDescent="0.25">
      <c r="A48" s="10" t="str">
        <f>tbl_Internal[[#This Row],[Account]] &amp; "-" &amp; tbl_Internal[[#This Row],[Security]] &amp; "-" &amp; TEXT(tbl_Internal[[#This Row],[Date]],"yyyymmdd")</f>
        <v>A005-GOOGL-20251005</v>
      </c>
      <c r="B48" s="32">
        <f>VLOOKUP(A48, tbl_Internal[], 2, FALSE)</f>
        <v>45935</v>
      </c>
      <c r="C48" s="34" t="str">
        <f>VLOOKUP(A48, tbl_Internal[], 3, FALSE)</f>
        <v>A005</v>
      </c>
      <c r="D48" s="34" t="str">
        <f>VLOOKUP(A48, tbl_Internal[], 4, FALSE)</f>
        <v>GOOGL</v>
      </c>
      <c r="E48" s="2">
        <f>IFERROR(VLOOKUP(A48, tbl_Internal[], 5, FALSE), "")</f>
        <v>319</v>
      </c>
      <c r="F48" s="2">
        <f>IFERROR(VLOOKUP(A48, tbl_Internal[], 6, FALSE), "")</f>
        <v>54674.79</v>
      </c>
      <c r="G48" s="2">
        <f>IFERROR(VLOOKUP(A48, tbl_Custodian[], 5, FALSE), "")</f>
        <v>319</v>
      </c>
      <c r="H48" s="2">
        <f>IFERROR(VLOOKUP(A48, tbl_Custodian[], 6, FALSE), "")</f>
        <v>54674.79</v>
      </c>
      <c r="I48" s="13">
        <f t="shared" si="0"/>
        <v>0</v>
      </c>
      <c r="J48" s="2">
        <f t="shared" si="1"/>
        <v>0</v>
      </c>
      <c r="K48" s="9" t="str">
        <f t="shared" si="2"/>
        <v>MATCH</v>
      </c>
    </row>
    <row r="49" spans="1:11" x14ac:dyDescent="0.25">
      <c r="A49" s="11" t="str">
        <f>tbl_Internal[[#This Row],[Account]] &amp; "-" &amp; tbl_Internal[[#This Row],[Security]] &amp; "-" &amp; TEXT(tbl_Internal[[#This Row],[Date]],"yyyymmdd")</f>
        <v>A005-AMZN-20251002</v>
      </c>
      <c r="B49" s="32">
        <f>VLOOKUP(A49, tbl_Internal[], 2, FALSE)</f>
        <v>45932</v>
      </c>
      <c r="C49" s="34" t="str">
        <f>VLOOKUP(A49, tbl_Internal[], 3, FALSE)</f>
        <v>A005</v>
      </c>
      <c r="D49" s="34" t="str">
        <f>VLOOKUP(A49, tbl_Internal[], 4, FALSE)</f>
        <v>AMZN</v>
      </c>
      <c r="E49" s="2">
        <f>IFERROR(VLOOKUP(A49, tbl_Internal[], 5, FALSE), "")</f>
        <v>140</v>
      </c>
      <c r="F49" s="2">
        <f>IFERROR(VLOOKUP(A49, tbl_Internal[], 6, FALSE), "")</f>
        <v>24421.1</v>
      </c>
      <c r="G49" s="2">
        <f>IFERROR(VLOOKUP(A49, tbl_Custodian[], 5, FALSE), "")</f>
        <v>140</v>
      </c>
      <c r="H49" s="2">
        <f>IFERROR(VLOOKUP(A49, tbl_Custodian[], 6, FALSE), "")</f>
        <v>24421.1</v>
      </c>
      <c r="I49" s="13">
        <f t="shared" si="0"/>
        <v>0</v>
      </c>
      <c r="J49" s="2">
        <f t="shared" si="1"/>
        <v>0</v>
      </c>
      <c r="K49" s="9" t="str">
        <f t="shared" si="2"/>
        <v>MATCH</v>
      </c>
    </row>
    <row r="50" spans="1:11" x14ac:dyDescent="0.25">
      <c r="A50" s="10" t="str">
        <f>tbl_Internal[[#This Row],[Account]] &amp; "-" &amp; tbl_Internal[[#This Row],[Security]] &amp; "-" &amp; TEXT(tbl_Internal[[#This Row],[Date]],"yyyymmdd")</f>
        <v>A006-BABA-20251014</v>
      </c>
      <c r="B50" s="32">
        <f>VLOOKUP(A50, tbl_Internal[], 2, FALSE)</f>
        <v>45944</v>
      </c>
      <c r="C50" s="34" t="str">
        <f>VLOOKUP(A50, tbl_Internal[], 3, FALSE)</f>
        <v>A006</v>
      </c>
      <c r="D50" s="34" t="str">
        <f>VLOOKUP(A50, tbl_Internal[], 4, FALSE)</f>
        <v>BABA</v>
      </c>
      <c r="E50" s="2">
        <f>IFERROR(VLOOKUP(A50, tbl_Internal[], 5, FALSE), "")</f>
        <v>106</v>
      </c>
      <c r="F50" s="2">
        <f>IFERROR(VLOOKUP(A50, tbl_Internal[], 6, FALSE), "")</f>
        <v>19090.3</v>
      </c>
      <c r="G50" s="2">
        <f>IFERROR(VLOOKUP(A50, tbl_Custodian[], 5, FALSE), "")</f>
        <v>106</v>
      </c>
      <c r="H50" s="2">
        <f>IFERROR(VLOOKUP(A50, tbl_Custodian[], 6, FALSE), "")</f>
        <v>19090.3</v>
      </c>
      <c r="I50" s="13">
        <f t="shared" si="0"/>
        <v>0</v>
      </c>
      <c r="J50" s="2">
        <f t="shared" si="1"/>
        <v>0</v>
      </c>
      <c r="K50" s="9" t="str">
        <f t="shared" si="2"/>
        <v>MATCH</v>
      </c>
    </row>
    <row r="51" spans="1:11" x14ac:dyDescent="0.25">
      <c r="A51" s="11" t="str">
        <f>tbl_Internal[[#This Row],[Account]] &amp; "-" &amp; tbl_Internal[[#This Row],[Security]] &amp; "-" &amp; TEXT(tbl_Internal[[#This Row],[Date]],"yyyymmdd")</f>
        <v>A004-JPM-20251016</v>
      </c>
      <c r="B51" s="32">
        <f>VLOOKUP(A51, tbl_Internal[], 2, FALSE)</f>
        <v>45946</v>
      </c>
      <c r="C51" s="34" t="str">
        <f>VLOOKUP(A51, tbl_Internal[], 3, FALSE)</f>
        <v>A004</v>
      </c>
      <c r="D51" s="34" t="str">
        <f>VLOOKUP(A51, tbl_Internal[], 4, FALSE)</f>
        <v>JPM</v>
      </c>
      <c r="E51" s="2">
        <f>IFERROR(VLOOKUP(A51, tbl_Internal[], 5, FALSE), "")</f>
        <v>418</v>
      </c>
      <c r="F51" s="2">
        <f>IFERROR(VLOOKUP(A51, tbl_Internal[], 6, FALSE), "")</f>
        <v>110154.27</v>
      </c>
      <c r="G51" s="2">
        <f>IFERROR(VLOOKUP(A51, tbl_Custodian[], 5, FALSE), "")</f>
        <v>418</v>
      </c>
      <c r="H51" s="2">
        <f>IFERROR(VLOOKUP(A51, tbl_Custodian[], 6, FALSE), "")</f>
        <v>110154.27</v>
      </c>
      <c r="I51" s="13">
        <f t="shared" si="0"/>
        <v>0</v>
      </c>
      <c r="J51" s="2">
        <f t="shared" si="1"/>
        <v>0</v>
      </c>
      <c r="K51" s="9" t="str">
        <f t="shared" si="2"/>
        <v>MATCH</v>
      </c>
    </row>
    <row r="52" spans="1:11" x14ac:dyDescent="0.25">
      <c r="A52" s="10" t="str">
        <f>tbl_Internal[[#This Row],[Account]] &amp; "-" &amp; tbl_Internal[[#This Row],[Security]] &amp; "-" &amp; TEXT(tbl_Internal[[#This Row],[Date]],"yyyymmdd")</f>
        <v>A003-MSFT-20251014</v>
      </c>
      <c r="B52" s="32">
        <f>VLOOKUP(A52, tbl_Internal[], 2, FALSE)</f>
        <v>45944</v>
      </c>
      <c r="C52" s="34" t="str">
        <f>VLOOKUP(A52, tbl_Internal[], 3, FALSE)</f>
        <v>A003</v>
      </c>
      <c r="D52" s="34" t="str">
        <f>VLOOKUP(A52, tbl_Internal[], 4, FALSE)</f>
        <v>MSFT</v>
      </c>
      <c r="E52" s="2">
        <f>IFERROR(VLOOKUP(A52, tbl_Internal[], 5, FALSE), "")</f>
        <v>324</v>
      </c>
      <c r="F52" s="2">
        <f>IFERROR(VLOOKUP(A52, tbl_Internal[], 6, FALSE), "")</f>
        <v>104846.25</v>
      </c>
      <c r="G52" s="2">
        <f>IFERROR(VLOOKUP(A52, tbl_Custodian[], 5, FALSE), "")</f>
        <v>324</v>
      </c>
      <c r="H52" s="2">
        <f>IFERROR(VLOOKUP(A52, tbl_Custodian[], 6, FALSE), "")</f>
        <v>104846.25</v>
      </c>
      <c r="I52" s="13">
        <f t="shared" si="0"/>
        <v>0</v>
      </c>
      <c r="J52" s="2">
        <f t="shared" si="1"/>
        <v>0</v>
      </c>
      <c r="K52" s="9" t="str">
        <f t="shared" si="2"/>
        <v>MATCH</v>
      </c>
    </row>
    <row r="53" spans="1:11" x14ac:dyDescent="0.25">
      <c r="A53" s="11" t="str">
        <f>tbl_Internal[[#This Row],[Account]] &amp; "-" &amp; tbl_Internal[[#This Row],[Security]] &amp; "-" &amp; TEXT(tbl_Internal[[#This Row],[Date]],"yyyymmdd")</f>
        <v>A001-AMZN-20251002</v>
      </c>
      <c r="B53" s="32">
        <f>VLOOKUP(A53, tbl_Internal[], 2, FALSE)</f>
        <v>45932</v>
      </c>
      <c r="C53" s="34" t="str">
        <f>VLOOKUP(A53, tbl_Internal[], 3, FALSE)</f>
        <v>A001</v>
      </c>
      <c r="D53" s="34" t="str">
        <f>VLOOKUP(A53, tbl_Internal[], 4, FALSE)</f>
        <v>AMZN</v>
      </c>
      <c r="E53" s="2">
        <f>IFERROR(VLOOKUP(A53, tbl_Internal[], 5, FALSE), "")</f>
        <v>133</v>
      </c>
      <c r="F53" s="2">
        <f>IFERROR(VLOOKUP(A53, tbl_Internal[], 6, FALSE), "")</f>
        <v>65191.79</v>
      </c>
      <c r="G53" s="2">
        <f>IFERROR(VLOOKUP(A53, tbl_Custodian[], 5, FALSE), "")</f>
        <v>133</v>
      </c>
      <c r="H53" s="2">
        <f>IFERROR(VLOOKUP(A53, tbl_Custodian[], 6, FALSE), "")</f>
        <v>65191.79</v>
      </c>
      <c r="I53" s="13">
        <f t="shared" si="0"/>
        <v>0</v>
      </c>
      <c r="J53" s="2">
        <f t="shared" si="1"/>
        <v>0</v>
      </c>
      <c r="K53" s="9" t="str">
        <f t="shared" si="2"/>
        <v>MATCH</v>
      </c>
    </row>
    <row r="54" spans="1:11" x14ac:dyDescent="0.25">
      <c r="A54" s="10" t="str">
        <f>tbl_Internal[[#This Row],[Account]] &amp; "-" &amp; tbl_Internal[[#This Row],[Security]] &amp; "-" &amp; TEXT(tbl_Internal[[#This Row],[Date]],"yyyymmdd")</f>
        <v>A002-META-20251017</v>
      </c>
      <c r="B54" s="32">
        <f>VLOOKUP(A54, tbl_Internal[], 2, FALSE)</f>
        <v>45947</v>
      </c>
      <c r="C54" s="34" t="str">
        <f>VLOOKUP(A54, tbl_Internal[], 3, FALSE)</f>
        <v>A002</v>
      </c>
      <c r="D54" s="34" t="str">
        <f>VLOOKUP(A54, tbl_Internal[], 4, FALSE)</f>
        <v>META</v>
      </c>
      <c r="E54" s="2">
        <f>IFERROR(VLOOKUP(A54, tbl_Internal[], 5, FALSE), "")</f>
        <v>193</v>
      </c>
      <c r="F54" s="2">
        <f>IFERROR(VLOOKUP(A54, tbl_Internal[], 6, FALSE), "")</f>
        <v>51249.99</v>
      </c>
      <c r="G54" s="2">
        <f>IFERROR(VLOOKUP(A54, tbl_Custodian[], 5, FALSE), "")</f>
        <v>195</v>
      </c>
      <c r="H54" s="2">
        <f>IFERROR(VLOOKUP(A54, tbl_Custodian[], 6, FALSE), "")</f>
        <v>51249.99</v>
      </c>
      <c r="I54" s="13">
        <f t="shared" si="0"/>
        <v>-2</v>
      </c>
      <c r="J54" s="2">
        <f t="shared" si="1"/>
        <v>0</v>
      </c>
      <c r="K54" s="9" t="str">
        <f t="shared" si="2"/>
        <v>MISMATCH</v>
      </c>
    </row>
    <row r="55" spans="1:11" x14ac:dyDescent="0.25">
      <c r="A55" s="11" t="str">
        <f>tbl_Internal[[#This Row],[Account]] &amp; "-" &amp; tbl_Internal[[#This Row],[Security]] &amp; "-" &amp; TEXT(tbl_Internal[[#This Row],[Date]],"yyyymmdd")</f>
        <v>A001-AMZN-20251015</v>
      </c>
      <c r="B55" s="32">
        <f>VLOOKUP(A55, tbl_Internal[], 2, FALSE)</f>
        <v>45945</v>
      </c>
      <c r="C55" s="34" t="str">
        <f>VLOOKUP(A55, tbl_Internal[], 3, FALSE)</f>
        <v>A001</v>
      </c>
      <c r="D55" s="34" t="str">
        <f>VLOOKUP(A55, tbl_Internal[], 4, FALSE)</f>
        <v>AMZN</v>
      </c>
      <c r="E55" s="2">
        <f>IFERROR(VLOOKUP(A55, tbl_Internal[], 5, FALSE), "")</f>
        <v>350</v>
      </c>
      <c r="F55" s="2">
        <f>IFERROR(VLOOKUP(A55, tbl_Internal[], 6, FALSE), "")</f>
        <v>162259.97</v>
      </c>
      <c r="G55" s="2">
        <f>IFERROR(VLOOKUP(A55, tbl_Custodian[], 5, FALSE), "")</f>
        <v>350</v>
      </c>
      <c r="H55" s="2">
        <f>IFERROR(VLOOKUP(A55, tbl_Custodian[], 6, FALSE), "")</f>
        <v>162259.97</v>
      </c>
      <c r="I55" s="13">
        <f t="shared" si="0"/>
        <v>0</v>
      </c>
      <c r="J55" s="2">
        <f t="shared" si="1"/>
        <v>0</v>
      </c>
      <c r="K55" s="9" t="str">
        <f t="shared" si="2"/>
        <v>MATCH</v>
      </c>
    </row>
    <row r="56" spans="1:11" x14ac:dyDescent="0.25">
      <c r="A56" s="10" t="str">
        <f>tbl_Internal[[#This Row],[Account]] &amp; "-" &amp; tbl_Internal[[#This Row],[Security]] &amp; "-" &amp; TEXT(tbl_Internal[[#This Row],[Date]],"yyyymmdd")</f>
        <v>A001-META-20251001</v>
      </c>
      <c r="B56" s="32">
        <f>VLOOKUP(A56, tbl_Internal[], 2, FALSE)</f>
        <v>45931</v>
      </c>
      <c r="C56" s="34" t="str">
        <f>VLOOKUP(A56, tbl_Internal[], 3, FALSE)</f>
        <v>A001</v>
      </c>
      <c r="D56" s="34" t="str">
        <f>VLOOKUP(A56, tbl_Internal[], 4, FALSE)</f>
        <v>META</v>
      </c>
      <c r="E56" s="2">
        <f>IFERROR(VLOOKUP(A56, tbl_Internal[], 5, FALSE), "")</f>
        <v>187</v>
      </c>
      <c r="F56" s="2">
        <f>IFERROR(VLOOKUP(A56, tbl_Internal[], 6, FALSE), "")</f>
        <v>36420.31</v>
      </c>
      <c r="G56" s="2">
        <f>IFERROR(VLOOKUP(A56, tbl_Custodian[], 5, FALSE), "")</f>
        <v>187</v>
      </c>
      <c r="H56" s="2">
        <f>IFERROR(VLOOKUP(A56, tbl_Custodian[], 6, FALSE), "")</f>
        <v>36420.31</v>
      </c>
      <c r="I56" s="13">
        <f t="shared" si="0"/>
        <v>0</v>
      </c>
      <c r="J56" s="2">
        <f t="shared" si="1"/>
        <v>0</v>
      </c>
      <c r="K56" s="9" t="str">
        <f t="shared" si="2"/>
        <v>MATCH</v>
      </c>
    </row>
    <row r="57" spans="1:11" x14ac:dyDescent="0.25">
      <c r="A57" s="11" t="str">
        <f>tbl_Internal[[#This Row],[Account]] &amp; "-" &amp; tbl_Internal[[#This Row],[Security]] &amp; "-" &amp; TEXT(tbl_Internal[[#This Row],[Date]],"yyyymmdd")</f>
        <v>A001-META-20251002</v>
      </c>
      <c r="B57" s="32">
        <f>VLOOKUP(A57, tbl_Internal[], 2, FALSE)</f>
        <v>45932</v>
      </c>
      <c r="C57" s="34" t="str">
        <f>VLOOKUP(A57, tbl_Internal[], 3, FALSE)</f>
        <v>A001</v>
      </c>
      <c r="D57" s="34" t="str">
        <f>VLOOKUP(A57, tbl_Internal[], 4, FALSE)</f>
        <v>META</v>
      </c>
      <c r="E57" s="2">
        <f>IFERROR(VLOOKUP(A57, tbl_Internal[], 5, FALSE), "")</f>
        <v>388</v>
      </c>
      <c r="F57" s="2">
        <f>IFERROR(VLOOKUP(A57, tbl_Internal[], 6, FALSE), "")</f>
        <v>96446.41</v>
      </c>
      <c r="G57" s="2">
        <f>IFERROR(VLOOKUP(A57, tbl_Custodian[], 5, FALSE), "")</f>
        <v>388</v>
      </c>
      <c r="H57" s="2">
        <f>IFERROR(VLOOKUP(A57, tbl_Custodian[], 6, FALSE), "")</f>
        <v>96446.41</v>
      </c>
      <c r="I57" s="13">
        <f t="shared" si="0"/>
        <v>0</v>
      </c>
      <c r="J57" s="2">
        <f t="shared" si="1"/>
        <v>0</v>
      </c>
      <c r="K57" s="9" t="str">
        <f t="shared" si="2"/>
        <v>MATCH</v>
      </c>
    </row>
    <row r="58" spans="1:11" x14ac:dyDescent="0.25">
      <c r="A58" s="10" t="str">
        <f>tbl_Internal[[#This Row],[Account]] &amp; "-" &amp; tbl_Internal[[#This Row],[Security]] &amp; "-" &amp; TEXT(tbl_Internal[[#This Row],[Date]],"yyyymmdd")</f>
        <v>A001-MSFT-20251008</v>
      </c>
      <c r="B58" s="32">
        <f>VLOOKUP(A58, tbl_Internal[], 2, FALSE)</f>
        <v>45938</v>
      </c>
      <c r="C58" s="34" t="str">
        <f>VLOOKUP(A58, tbl_Internal[], 3, FALSE)</f>
        <v>A001</v>
      </c>
      <c r="D58" s="34" t="str">
        <f>VLOOKUP(A58, tbl_Internal[], 4, FALSE)</f>
        <v>MSFT</v>
      </c>
      <c r="E58" s="2">
        <f>IFERROR(VLOOKUP(A58, tbl_Internal[], 5, FALSE), "")</f>
        <v>300</v>
      </c>
      <c r="F58" s="2">
        <f>IFERROR(VLOOKUP(A58, tbl_Internal[], 6, FALSE), "")</f>
        <v>101794.18</v>
      </c>
      <c r="G58" s="2">
        <f>IFERROR(VLOOKUP(A58, tbl_Custodian[], 5, FALSE), "")</f>
        <v>300</v>
      </c>
      <c r="H58" s="2">
        <f>IFERROR(VLOOKUP(A58, tbl_Custodian[], 6, FALSE), "")</f>
        <v>101794.18</v>
      </c>
      <c r="I58" s="13">
        <f t="shared" si="0"/>
        <v>0</v>
      </c>
      <c r="J58" s="2">
        <f t="shared" si="1"/>
        <v>0</v>
      </c>
      <c r="K58" s="9" t="str">
        <f t="shared" si="2"/>
        <v>MATCH</v>
      </c>
    </row>
    <row r="59" spans="1:11" x14ac:dyDescent="0.25">
      <c r="A59" s="11" t="str">
        <f>tbl_Internal[[#This Row],[Account]] &amp; "-" &amp; tbl_Internal[[#This Row],[Security]] &amp; "-" &amp; TEXT(tbl_Internal[[#This Row],[Date]],"yyyymmdd")</f>
        <v>A008-AAPL-20251030</v>
      </c>
      <c r="B59" s="32">
        <f>VLOOKUP(A59, tbl_Internal[], 2, FALSE)</f>
        <v>45960</v>
      </c>
      <c r="C59" s="34" t="str">
        <f>VLOOKUP(A59, tbl_Internal[], 3, FALSE)</f>
        <v>A008</v>
      </c>
      <c r="D59" s="34" t="str">
        <f>VLOOKUP(A59, tbl_Internal[], 4, FALSE)</f>
        <v>AAPL</v>
      </c>
      <c r="E59" s="2">
        <f>IFERROR(VLOOKUP(A59, tbl_Internal[], 5, FALSE), "")</f>
        <v>256</v>
      </c>
      <c r="F59" s="2">
        <f>IFERROR(VLOOKUP(A59, tbl_Internal[], 6, FALSE), "")</f>
        <v>87905.87</v>
      </c>
      <c r="G59" s="2">
        <f>IFERROR(VLOOKUP(A59, tbl_Custodian[], 5, FALSE), "")</f>
        <v>252</v>
      </c>
      <c r="H59" s="2">
        <f>IFERROR(VLOOKUP(A59, tbl_Custodian[], 6, FALSE), "")</f>
        <v>87905.87</v>
      </c>
      <c r="I59" s="13">
        <f t="shared" si="0"/>
        <v>4</v>
      </c>
      <c r="J59" s="2">
        <f t="shared" si="1"/>
        <v>0</v>
      </c>
      <c r="K59" s="9" t="str">
        <f t="shared" si="2"/>
        <v>MISMATCH</v>
      </c>
    </row>
    <row r="60" spans="1:11" x14ac:dyDescent="0.25">
      <c r="A60" s="10" t="str">
        <f>tbl_Internal[[#This Row],[Account]] &amp; "-" &amp; tbl_Internal[[#This Row],[Security]] &amp; "-" &amp; TEXT(tbl_Internal[[#This Row],[Date]],"yyyymmdd")</f>
        <v>A004-BABA-20251005</v>
      </c>
      <c r="B60" s="32">
        <f>VLOOKUP(A60, tbl_Internal[], 2, FALSE)</f>
        <v>45935</v>
      </c>
      <c r="C60" s="34" t="str">
        <f>VLOOKUP(A60, tbl_Internal[], 3, FALSE)</f>
        <v>A004</v>
      </c>
      <c r="D60" s="34" t="str">
        <f>VLOOKUP(A60, tbl_Internal[], 4, FALSE)</f>
        <v>BABA</v>
      </c>
      <c r="E60" s="2">
        <f>IFERROR(VLOOKUP(A60, tbl_Internal[], 5, FALSE), "")</f>
        <v>190</v>
      </c>
      <c r="F60" s="2">
        <f>IFERROR(VLOOKUP(A60, tbl_Internal[], 6, FALSE), "")</f>
        <v>26646.58</v>
      </c>
      <c r="G60" s="2">
        <f>IFERROR(VLOOKUP(A60, tbl_Custodian[], 5, FALSE), "")</f>
        <v>190</v>
      </c>
      <c r="H60" s="2">
        <f>IFERROR(VLOOKUP(A60, tbl_Custodian[], 6, FALSE), "")</f>
        <v>26646.58</v>
      </c>
      <c r="I60" s="13">
        <f t="shared" si="0"/>
        <v>0</v>
      </c>
      <c r="J60" s="2">
        <f t="shared" si="1"/>
        <v>0</v>
      </c>
      <c r="K60" s="9" t="str">
        <f t="shared" si="2"/>
        <v>MATCH</v>
      </c>
    </row>
    <row r="61" spans="1:11" x14ac:dyDescent="0.25">
      <c r="A61" s="11" t="str">
        <f>tbl_Internal[[#This Row],[Account]] &amp; "-" &amp; tbl_Internal[[#This Row],[Security]] &amp; "-" &amp; TEXT(tbl_Internal[[#This Row],[Date]],"yyyymmdd")</f>
        <v>A002-JPM-20251019</v>
      </c>
      <c r="B61" s="32">
        <f>VLOOKUP(A61, tbl_Internal[], 2, FALSE)</f>
        <v>45949</v>
      </c>
      <c r="C61" s="34" t="str">
        <f>VLOOKUP(A61, tbl_Internal[], 3, FALSE)</f>
        <v>A002</v>
      </c>
      <c r="D61" s="34" t="str">
        <f>VLOOKUP(A61, tbl_Internal[], 4, FALSE)</f>
        <v>JPM</v>
      </c>
      <c r="E61" s="2">
        <f>IFERROR(VLOOKUP(A61, tbl_Internal[], 5, FALSE), "")</f>
        <v>255</v>
      </c>
      <c r="F61" s="2">
        <f>IFERROR(VLOOKUP(A61, tbl_Internal[], 6, FALSE), "")</f>
        <v>89373.29</v>
      </c>
      <c r="G61" s="2">
        <f>IFERROR(VLOOKUP(A61, tbl_Custodian[], 5, FALSE), "")</f>
        <v>255</v>
      </c>
      <c r="H61" s="2">
        <f>IFERROR(VLOOKUP(A61, tbl_Custodian[], 6, FALSE), "")</f>
        <v>89373.29</v>
      </c>
      <c r="I61" s="13">
        <f t="shared" si="0"/>
        <v>0</v>
      </c>
      <c r="J61" s="2">
        <f t="shared" si="1"/>
        <v>0</v>
      </c>
      <c r="K61" s="9" t="str">
        <f t="shared" si="2"/>
        <v>MATCH</v>
      </c>
    </row>
    <row r="62" spans="1:11" x14ac:dyDescent="0.25">
      <c r="A62" s="10" t="str">
        <f>tbl_Internal[[#This Row],[Account]] &amp; "-" &amp; tbl_Internal[[#This Row],[Security]] &amp; "-" &amp; TEXT(tbl_Internal[[#This Row],[Date]],"yyyymmdd")</f>
        <v>A009-META-20251030</v>
      </c>
      <c r="B62" s="32">
        <f>VLOOKUP(A62, tbl_Internal[], 2, FALSE)</f>
        <v>45960</v>
      </c>
      <c r="C62" s="34" t="str">
        <f>VLOOKUP(A62, tbl_Internal[], 3, FALSE)</f>
        <v>A009</v>
      </c>
      <c r="D62" s="34" t="str">
        <f>VLOOKUP(A62, tbl_Internal[], 4, FALSE)</f>
        <v>META</v>
      </c>
      <c r="E62" s="2">
        <f>IFERROR(VLOOKUP(A62, tbl_Internal[], 5, FALSE), "")</f>
        <v>392</v>
      </c>
      <c r="F62" s="2">
        <f>IFERROR(VLOOKUP(A62, tbl_Internal[], 6, FALSE), "")</f>
        <v>105230.6</v>
      </c>
      <c r="G62" s="2">
        <f>IFERROR(VLOOKUP(A62, tbl_Custodian[], 5, FALSE), "")</f>
        <v>392</v>
      </c>
      <c r="H62" s="2">
        <f>IFERROR(VLOOKUP(A62, tbl_Custodian[], 6, FALSE), "")</f>
        <v>105230.6</v>
      </c>
      <c r="I62" s="13">
        <f t="shared" si="0"/>
        <v>0</v>
      </c>
      <c r="J62" s="2">
        <f t="shared" si="1"/>
        <v>0</v>
      </c>
      <c r="K62" s="9" t="str">
        <f t="shared" si="2"/>
        <v>MATCH</v>
      </c>
    </row>
    <row r="63" spans="1:11" x14ac:dyDescent="0.25">
      <c r="A63" s="11" t="str">
        <f>tbl_Internal[[#This Row],[Account]] &amp; "-" &amp; tbl_Internal[[#This Row],[Security]] &amp; "-" &amp; TEXT(tbl_Internal[[#This Row],[Date]],"yyyymmdd")</f>
        <v>A007-GOOGL-20251010</v>
      </c>
      <c r="B63" s="32">
        <f>VLOOKUP(A63, tbl_Internal[], 2, FALSE)</f>
        <v>45940</v>
      </c>
      <c r="C63" s="34" t="str">
        <f>VLOOKUP(A63, tbl_Internal[], 3, FALSE)</f>
        <v>A007</v>
      </c>
      <c r="D63" s="34" t="str">
        <f>VLOOKUP(A63, tbl_Internal[], 4, FALSE)</f>
        <v>GOOGL</v>
      </c>
      <c r="E63" s="2">
        <f>IFERROR(VLOOKUP(A63, tbl_Internal[], 5, FALSE), "")</f>
        <v>67</v>
      </c>
      <c r="F63" s="2">
        <f>IFERROR(VLOOKUP(A63, tbl_Internal[], 6, FALSE), "")</f>
        <v>20285.32</v>
      </c>
      <c r="G63" s="2">
        <f>IFERROR(VLOOKUP(A63, tbl_Custodian[], 5, FALSE), "")</f>
        <v>67</v>
      </c>
      <c r="H63" s="2">
        <f>IFERROR(VLOOKUP(A63, tbl_Custodian[], 6, FALSE), "")</f>
        <v>20285.32</v>
      </c>
      <c r="I63" s="13">
        <f t="shared" si="0"/>
        <v>0</v>
      </c>
      <c r="J63" s="2">
        <f t="shared" si="1"/>
        <v>0</v>
      </c>
      <c r="K63" s="9" t="str">
        <f t="shared" si="2"/>
        <v>MATCH</v>
      </c>
    </row>
    <row r="64" spans="1:11" x14ac:dyDescent="0.25">
      <c r="A64" s="10" t="str">
        <f>tbl_Internal[[#This Row],[Account]] &amp; "-" &amp; tbl_Internal[[#This Row],[Security]] &amp; "-" &amp; TEXT(tbl_Internal[[#This Row],[Date]],"yyyymmdd")</f>
        <v>A001-BABA-20251017</v>
      </c>
      <c r="B64" s="32">
        <f>VLOOKUP(A64, tbl_Internal[], 2, FALSE)</f>
        <v>45947</v>
      </c>
      <c r="C64" s="34" t="str">
        <f>VLOOKUP(A64, tbl_Internal[], 3, FALSE)</f>
        <v>A001</v>
      </c>
      <c r="D64" s="34" t="str">
        <f>VLOOKUP(A64, tbl_Internal[], 4, FALSE)</f>
        <v>BABA</v>
      </c>
      <c r="E64" s="2">
        <f>IFERROR(VLOOKUP(A64, tbl_Internal[], 5, FALSE), "")</f>
        <v>172</v>
      </c>
      <c r="F64" s="2">
        <f>IFERROR(VLOOKUP(A64, tbl_Internal[], 6, FALSE), "")</f>
        <v>69675.67</v>
      </c>
      <c r="G64" s="2">
        <f>IFERROR(VLOOKUP(A64, tbl_Custodian[], 5, FALSE), "")</f>
        <v>174</v>
      </c>
      <c r="H64" s="2">
        <f>IFERROR(VLOOKUP(A64, tbl_Custodian[], 6, FALSE), "")</f>
        <v>69675.67</v>
      </c>
      <c r="I64" s="13">
        <f t="shared" si="0"/>
        <v>-2</v>
      </c>
      <c r="J64" s="2">
        <f t="shared" si="1"/>
        <v>0</v>
      </c>
      <c r="K64" s="9" t="str">
        <f t="shared" si="2"/>
        <v>MISMATCH</v>
      </c>
    </row>
    <row r="65" spans="1:11" x14ac:dyDescent="0.25">
      <c r="A65" s="11" t="str">
        <f>tbl_Internal[[#This Row],[Account]] &amp; "-" &amp; tbl_Internal[[#This Row],[Security]] &amp; "-" &amp; TEXT(tbl_Internal[[#This Row],[Date]],"yyyymmdd")</f>
        <v>A004-AMZN-20251002</v>
      </c>
      <c r="B65" s="32">
        <f>VLOOKUP(A65, tbl_Internal[], 2, FALSE)</f>
        <v>45932</v>
      </c>
      <c r="C65" s="34" t="str">
        <f>VLOOKUP(A65, tbl_Internal[], 3, FALSE)</f>
        <v>A004</v>
      </c>
      <c r="D65" s="34" t="str">
        <f>VLOOKUP(A65, tbl_Internal[], 4, FALSE)</f>
        <v>AMZN</v>
      </c>
      <c r="E65" s="2">
        <f>IFERROR(VLOOKUP(A65, tbl_Internal[], 5, FALSE), "")</f>
        <v>474</v>
      </c>
      <c r="F65" s="2">
        <f>IFERROR(VLOOKUP(A65, tbl_Internal[], 6, FALSE), "")</f>
        <v>64335.93</v>
      </c>
      <c r="G65" s="2">
        <f>IFERROR(VLOOKUP(A65, tbl_Custodian[], 5, FALSE), "")</f>
        <v>474</v>
      </c>
      <c r="H65" s="2">
        <f>IFERROR(VLOOKUP(A65, tbl_Custodian[], 6, FALSE), "")</f>
        <v>64335.93</v>
      </c>
      <c r="I65" s="13">
        <f t="shared" si="0"/>
        <v>0</v>
      </c>
      <c r="J65" s="2">
        <f t="shared" si="1"/>
        <v>0</v>
      </c>
      <c r="K65" s="9" t="str">
        <f t="shared" si="2"/>
        <v>MATCH</v>
      </c>
    </row>
    <row r="66" spans="1:11" x14ac:dyDescent="0.25">
      <c r="A66" s="10" t="str">
        <f>tbl_Internal[[#This Row],[Account]] &amp; "-" &amp; tbl_Internal[[#This Row],[Security]] &amp; "-" &amp; TEXT(tbl_Internal[[#This Row],[Date]],"yyyymmdd")</f>
        <v>A003-NVDA-20251021</v>
      </c>
      <c r="B66" s="32">
        <f>VLOOKUP(A66, tbl_Internal[], 2, FALSE)</f>
        <v>45951</v>
      </c>
      <c r="C66" s="34" t="str">
        <f>VLOOKUP(A66, tbl_Internal[], 3, FALSE)</f>
        <v>A003</v>
      </c>
      <c r="D66" s="34" t="str">
        <f>VLOOKUP(A66, tbl_Internal[], 4, FALSE)</f>
        <v>NVDA</v>
      </c>
      <c r="E66" s="2">
        <f>IFERROR(VLOOKUP(A66, tbl_Internal[], 5, FALSE), "")</f>
        <v>91</v>
      </c>
      <c r="F66" s="2">
        <f>IFERROR(VLOOKUP(A66, tbl_Internal[], 6, FALSE), "")</f>
        <v>28471.040000000001</v>
      </c>
      <c r="G66" s="2">
        <f>IFERROR(VLOOKUP(A66, tbl_Custodian[], 5, FALSE), "")</f>
        <v>91</v>
      </c>
      <c r="H66" s="2">
        <f>IFERROR(VLOOKUP(A66, tbl_Custodian[], 6, FALSE), "")</f>
        <v>28595.020657170899</v>
      </c>
      <c r="I66" s="13">
        <f t="shared" si="0"/>
        <v>0</v>
      </c>
      <c r="J66" s="2">
        <f t="shared" si="1"/>
        <v>-123.98065717089776</v>
      </c>
      <c r="K66" s="9" t="str">
        <f t="shared" si="2"/>
        <v>MISMATCH</v>
      </c>
    </row>
    <row r="67" spans="1:11" x14ac:dyDescent="0.25">
      <c r="A67" s="11" t="str">
        <f>tbl_Internal[[#This Row],[Account]] &amp; "-" &amp; tbl_Internal[[#This Row],[Security]] &amp; "-" &amp; TEXT(tbl_Internal[[#This Row],[Date]],"yyyymmdd")</f>
        <v>A008-AAPL-20251026</v>
      </c>
      <c r="B67" s="32">
        <f>VLOOKUP(A67, tbl_Internal[], 2, FALSE)</f>
        <v>45956</v>
      </c>
      <c r="C67" s="34" t="str">
        <f>VLOOKUP(A67, tbl_Internal[], 3, FALSE)</f>
        <v>A008</v>
      </c>
      <c r="D67" s="34" t="str">
        <f>VLOOKUP(A67, tbl_Internal[], 4, FALSE)</f>
        <v>AAPL</v>
      </c>
      <c r="E67" s="2">
        <f>IFERROR(VLOOKUP(A67, tbl_Internal[], 5, FALSE), "")</f>
        <v>475</v>
      </c>
      <c r="F67" s="2">
        <f>IFERROR(VLOOKUP(A67, tbl_Internal[], 6, FALSE), "")</f>
        <v>125147.37</v>
      </c>
      <c r="G67" s="2">
        <f>IFERROR(VLOOKUP(A67, tbl_Custodian[], 5, FALSE), "")</f>
        <v>475</v>
      </c>
      <c r="H67" s="2">
        <f>IFERROR(VLOOKUP(A67, tbl_Custodian[], 6, FALSE), "")</f>
        <v>125147.37</v>
      </c>
      <c r="I67" s="13">
        <f t="shared" ref="I67:I101" si="3">IF(E67="", "", E67 - G67)</f>
        <v>0</v>
      </c>
      <c r="J67" s="2">
        <f t="shared" ref="J67:J101" si="4">IF(F67="", "", F67 - H67)</f>
        <v>0</v>
      </c>
      <c r="K67" s="9" t="str">
        <f t="shared" ref="K67:K101" si="5">IF(AND(I67=0, J67=0), "MATCH", "MISMATCH")</f>
        <v>MATCH</v>
      </c>
    </row>
    <row r="68" spans="1:11" x14ac:dyDescent="0.25">
      <c r="A68" s="10" t="str">
        <f>tbl_Internal[[#This Row],[Account]] &amp; "-" &amp; tbl_Internal[[#This Row],[Security]] &amp; "-" &amp; TEXT(tbl_Internal[[#This Row],[Date]],"yyyymmdd")</f>
        <v>A004-NVDA-20251027</v>
      </c>
      <c r="B68" s="32">
        <f>VLOOKUP(A68, tbl_Internal[], 2, FALSE)</f>
        <v>45957</v>
      </c>
      <c r="C68" s="34" t="str">
        <f>VLOOKUP(A68, tbl_Internal[], 3, FALSE)</f>
        <v>A004</v>
      </c>
      <c r="D68" s="34" t="str">
        <f>VLOOKUP(A68, tbl_Internal[], 4, FALSE)</f>
        <v>NVDA</v>
      </c>
      <c r="E68" s="2">
        <f>IFERROR(VLOOKUP(A68, tbl_Internal[], 5, FALSE), "")</f>
        <v>498</v>
      </c>
      <c r="F68" s="2">
        <f>IFERROR(VLOOKUP(A68, tbl_Internal[], 6, FALSE), "")</f>
        <v>147931.21</v>
      </c>
      <c r="G68" s="2">
        <f>IFERROR(VLOOKUP(A68, tbl_Custodian[], 5, FALSE), "")</f>
        <v>498</v>
      </c>
      <c r="H68" s="2">
        <f>IFERROR(VLOOKUP(A68, tbl_Custodian[], 6, FALSE), "")</f>
        <v>147931.21</v>
      </c>
      <c r="I68" s="13">
        <f t="shared" si="3"/>
        <v>0</v>
      </c>
      <c r="J68" s="2">
        <f t="shared" si="4"/>
        <v>0</v>
      </c>
      <c r="K68" s="9" t="str">
        <f t="shared" si="5"/>
        <v>MATCH</v>
      </c>
    </row>
    <row r="69" spans="1:11" x14ac:dyDescent="0.25">
      <c r="A69" s="11" t="str">
        <f>tbl_Internal[[#This Row],[Account]] &amp; "-" &amp; tbl_Internal[[#This Row],[Security]] &amp; "-" &amp; TEXT(tbl_Internal[[#This Row],[Date]],"yyyymmdd")</f>
        <v>A003-TSLA-20251027</v>
      </c>
      <c r="B69" s="32">
        <f>VLOOKUP(A69, tbl_Internal[], 2, FALSE)</f>
        <v>45957</v>
      </c>
      <c r="C69" s="34" t="str">
        <f>VLOOKUP(A69, tbl_Internal[], 3, FALSE)</f>
        <v>A003</v>
      </c>
      <c r="D69" s="34" t="str">
        <f>VLOOKUP(A69, tbl_Internal[], 4, FALSE)</f>
        <v>TSLA</v>
      </c>
      <c r="E69" s="2">
        <f>IFERROR(VLOOKUP(A69, tbl_Internal[], 5, FALSE), "")</f>
        <v>329</v>
      </c>
      <c r="F69" s="2">
        <f>IFERROR(VLOOKUP(A69, tbl_Internal[], 6, FALSE), "")</f>
        <v>54813.279999999999</v>
      </c>
      <c r="G69" s="2">
        <f>IFERROR(VLOOKUP(A69, tbl_Custodian[], 5, FALSE), "")</f>
        <v>329</v>
      </c>
      <c r="H69" s="2">
        <f>IFERROR(VLOOKUP(A69, tbl_Custodian[], 6, FALSE), "")</f>
        <v>54813.279999999999</v>
      </c>
      <c r="I69" s="13">
        <f t="shared" si="3"/>
        <v>0</v>
      </c>
      <c r="J69" s="2">
        <f t="shared" si="4"/>
        <v>0</v>
      </c>
      <c r="K69" s="9" t="str">
        <f t="shared" si="5"/>
        <v>MATCH</v>
      </c>
    </row>
    <row r="70" spans="1:11" x14ac:dyDescent="0.25">
      <c r="A70" s="10" t="str">
        <f>tbl_Internal[[#This Row],[Account]] &amp; "-" &amp; tbl_Internal[[#This Row],[Security]] &amp; "-" &amp; TEXT(tbl_Internal[[#This Row],[Date]],"yyyymmdd")</f>
        <v>A009-BABA-20251020</v>
      </c>
      <c r="B70" s="32">
        <f>VLOOKUP(A70, tbl_Internal[], 2, FALSE)</f>
        <v>45950</v>
      </c>
      <c r="C70" s="34" t="str">
        <f>VLOOKUP(A70, tbl_Internal[], 3, FALSE)</f>
        <v>A009</v>
      </c>
      <c r="D70" s="34" t="str">
        <f>VLOOKUP(A70, tbl_Internal[], 4, FALSE)</f>
        <v>BABA</v>
      </c>
      <c r="E70" s="2">
        <f>IFERROR(VLOOKUP(A70, tbl_Internal[], 5, FALSE), "")</f>
        <v>481</v>
      </c>
      <c r="F70" s="2">
        <f>IFERROR(VLOOKUP(A70, tbl_Internal[], 6, FALSE), "")</f>
        <v>223048.83</v>
      </c>
      <c r="G70" s="2">
        <f>IFERROR(VLOOKUP(A70, tbl_Custodian[], 5, FALSE), "")</f>
        <v>481</v>
      </c>
      <c r="H70" s="2">
        <f>IFERROR(VLOOKUP(A70, tbl_Custodian[], 6, FALSE), "")</f>
        <v>223048.83</v>
      </c>
      <c r="I70" s="13">
        <f t="shared" si="3"/>
        <v>0</v>
      </c>
      <c r="J70" s="2">
        <f t="shared" si="4"/>
        <v>0</v>
      </c>
      <c r="K70" s="9" t="str">
        <f t="shared" si="5"/>
        <v>MATCH</v>
      </c>
    </row>
    <row r="71" spans="1:11" x14ac:dyDescent="0.25">
      <c r="A71" s="11" t="str">
        <f>tbl_Internal[[#This Row],[Account]] &amp; "-" &amp; tbl_Internal[[#This Row],[Security]] &amp; "-" &amp; TEXT(tbl_Internal[[#This Row],[Date]],"yyyymmdd")</f>
        <v>A007-GOOGL-20251011</v>
      </c>
      <c r="B71" s="32">
        <f>VLOOKUP(A71, tbl_Internal[], 2, FALSE)</f>
        <v>45941</v>
      </c>
      <c r="C71" s="34" t="str">
        <f>VLOOKUP(A71, tbl_Internal[], 3, FALSE)</f>
        <v>A007</v>
      </c>
      <c r="D71" s="34" t="str">
        <f>VLOOKUP(A71, tbl_Internal[], 4, FALSE)</f>
        <v>GOOGL</v>
      </c>
      <c r="E71" s="2">
        <f>IFERROR(VLOOKUP(A71, tbl_Internal[], 5, FALSE), "")</f>
        <v>208</v>
      </c>
      <c r="F71" s="2">
        <f>IFERROR(VLOOKUP(A71, tbl_Internal[], 6, FALSE), "")</f>
        <v>66581.67</v>
      </c>
      <c r="G71" s="2">
        <f>IFERROR(VLOOKUP(A71, tbl_Custodian[], 5, FALSE), "")</f>
        <v>208</v>
      </c>
      <c r="H71" s="2">
        <f>IFERROR(VLOOKUP(A71, tbl_Custodian[], 6, FALSE), "")</f>
        <v>66581.67</v>
      </c>
      <c r="I71" s="13">
        <f t="shared" si="3"/>
        <v>0</v>
      </c>
      <c r="J71" s="2">
        <f t="shared" si="4"/>
        <v>0</v>
      </c>
      <c r="K71" s="9" t="str">
        <f t="shared" si="5"/>
        <v>MATCH</v>
      </c>
    </row>
    <row r="72" spans="1:11" x14ac:dyDescent="0.25">
      <c r="A72" s="10" t="str">
        <f>tbl_Internal[[#This Row],[Account]] &amp; "-" &amp; tbl_Internal[[#This Row],[Security]] &amp; "-" &amp; TEXT(tbl_Internal[[#This Row],[Date]],"yyyymmdd")</f>
        <v>A010-NVDA-20251017</v>
      </c>
      <c r="B72" s="32">
        <f>VLOOKUP(A72, tbl_Internal[], 2, FALSE)</f>
        <v>45947</v>
      </c>
      <c r="C72" s="34" t="str">
        <f>VLOOKUP(A72, tbl_Internal[], 3, FALSE)</f>
        <v>A010</v>
      </c>
      <c r="D72" s="34" t="str">
        <f>VLOOKUP(A72, tbl_Internal[], 4, FALSE)</f>
        <v>NVDA</v>
      </c>
      <c r="E72" s="2">
        <f>IFERROR(VLOOKUP(A72, tbl_Internal[], 5, FALSE), "")</f>
        <v>66</v>
      </c>
      <c r="F72" s="2">
        <f>IFERROR(VLOOKUP(A72, tbl_Internal[], 6, FALSE), "")</f>
        <v>30797.02</v>
      </c>
      <c r="G72" s="2">
        <f>IFERROR(VLOOKUP(A72, tbl_Custodian[], 5, FALSE), "")</f>
        <v>66</v>
      </c>
      <c r="H72" s="2">
        <f>IFERROR(VLOOKUP(A72, tbl_Custodian[], 6, FALSE), "")</f>
        <v>30960.273733976901</v>
      </c>
      <c r="I72" s="13">
        <f t="shared" si="3"/>
        <v>0</v>
      </c>
      <c r="J72" s="2">
        <f t="shared" si="4"/>
        <v>-163.25373397690055</v>
      </c>
      <c r="K72" s="9" t="str">
        <f t="shared" si="5"/>
        <v>MISMATCH</v>
      </c>
    </row>
    <row r="73" spans="1:11" x14ac:dyDescent="0.25">
      <c r="A73" s="11" t="str">
        <f>tbl_Internal[[#This Row],[Account]] &amp; "-" &amp; tbl_Internal[[#This Row],[Security]] &amp; "-" &amp; TEXT(tbl_Internal[[#This Row],[Date]],"yyyymmdd")</f>
        <v>A005-JPM-20251025</v>
      </c>
      <c r="B73" s="32">
        <f>VLOOKUP(A73, tbl_Internal[], 2, FALSE)</f>
        <v>45955</v>
      </c>
      <c r="C73" s="34" t="str">
        <f>VLOOKUP(A73, tbl_Internal[], 3, FALSE)</f>
        <v>A005</v>
      </c>
      <c r="D73" s="34" t="str">
        <f>VLOOKUP(A73, tbl_Internal[], 4, FALSE)</f>
        <v>JPM</v>
      </c>
      <c r="E73" s="2">
        <f>IFERROR(VLOOKUP(A73, tbl_Internal[], 5, FALSE), "")</f>
        <v>489</v>
      </c>
      <c r="F73" s="2">
        <f>IFERROR(VLOOKUP(A73, tbl_Internal[], 6, FALSE), "")</f>
        <v>68480.38</v>
      </c>
      <c r="G73" s="2">
        <f>IFERROR(VLOOKUP(A73, tbl_Custodian[], 5, FALSE), "")</f>
        <v>489</v>
      </c>
      <c r="H73" s="2">
        <f>IFERROR(VLOOKUP(A73, tbl_Custodian[], 6, FALSE), "")</f>
        <v>68480.38</v>
      </c>
      <c r="I73" s="13">
        <f t="shared" si="3"/>
        <v>0</v>
      </c>
      <c r="J73" s="2">
        <f t="shared" si="4"/>
        <v>0</v>
      </c>
      <c r="K73" s="9" t="str">
        <f t="shared" si="5"/>
        <v>MATCH</v>
      </c>
    </row>
    <row r="74" spans="1:11" x14ac:dyDescent="0.25">
      <c r="A74" s="10" t="str">
        <f>tbl_Internal[[#This Row],[Account]] &amp; "-" &amp; tbl_Internal[[#This Row],[Security]] &amp; "-" &amp; TEXT(tbl_Internal[[#This Row],[Date]],"yyyymmdd")</f>
        <v>A006-GOOGL-20251008</v>
      </c>
      <c r="B74" s="32">
        <f>VLOOKUP(A74, tbl_Internal[], 2, FALSE)</f>
        <v>45938</v>
      </c>
      <c r="C74" s="34" t="str">
        <f>VLOOKUP(A74, tbl_Internal[], 3, FALSE)</f>
        <v>A006</v>
      </c>
      <c r="D74" s="34" t="str">
        <f>VLOOKUP(A74, tbl_Internal[], 4, FALSE)</f>
        <v>GOOGL</v>
      </c>
      <c r="E74" s="2">
        <f>IFERROR(VLOOKUP(A74, tbl_Internal[], 5, FALSE), "")</f>
        <v>359</v>
      </c>
      <c r="F74" s="2">
        <f>IFERROR(VLOOKUP(A74, tbl_Internal[], 6, FALSE), "")</f>
        <v>73033.09</v>
      </c>
      <c r="G74" s="2">
        <f>IFERROR(VLOOKUP(A74, tbl_Custodian[], 5, FALSE), "")</f>
        <v>359</v>
      </c>
      <c r="H74" s="2">
        <f>IFERROR(VLOOKUP(A74, tbl_Custodian[], 6, FALSE), "")</f>
        <v>73033.09</v>
      </c>
      <c r="I74" s="13">
        <f t="shared" si="3"/>
        <v>0</v>
      </c>
      <c r="J74" s="2">
        <f t="shared" si="4"/>
        <v>0</v>
      </c>
      <c r="K74" s="9" t="str">
        <f t="shared" si="5"/>
        <v>MATCH</v>
      </c>
    </row>
    <row r="75" spans="1:11" x14ac:dyDescent="0.25">
      <c r="A75" s="11" t="str">
        <f>tbl_Internal[[#This Row],[Account]] &amp; "-" &amp; tbl_Internal[[#This Row],[Security]] &amp; "-" &amp; TEXT(tbl_Internal[[#This Row],[Date]],"yyyymmdd")</f>
        <v>A003-JPM-20251027</v>
      </c>
      <c r="B75" s="32">
        <f>VLOOKUP(A75, tbl_Internal[], 2, FALSE)</f>
        <v>45957</v>
      </c>
      <c r="C75" s="34" t="str">
        <f>VLOOKUP(A75, tbl_Internal[], 3, FALSE)</f>
        <v>A003</v>
      </c>
      <c r="D75" s="34" t="str">
        <f>VLOOKUP(A75, tbl_Internal[], 4, FALSE)</f>
        <v>JPM</v>
      </c>
      <c r="E75" s="2">
        <f>IFERROR(VLOOKUP(A75, tbl_Internal[], 5, FALSE), "")</f>
        <v>71</v>
      </c>
      <c r="F75" s="2">
        <f>IFERROR(VLOOKUP(A75, tbl_Internal[], 6, FALSE), "")</f>
        <v>13162.86</v>
      </c>
      <c r="G75" s="2">
        <f>IFERROR(VLOOKUP(A75, tbl_Custodian[], 5, FALSE), "")</f>
        <v>71</v>
      </c>
      <c r="H75" s="2">
        <f>IFERROR(VLOOKUP(A75, tbl_Custodian[], 6, FALSE), "")</f>
        <v>13162.86</v>
      </c>
      <c r="I75" s="13">
        <f t="shared" si="3"/>
        <v>0</v>
      </c>
      <c r="J75" s="2">
        <f t="shared" si="4"/>
        <v>0</v>
      </c>
      <c r="K75" s="9" t="str">
        <f t="shared" si="5"/>
        <v>MATCH</v>
      </c>
    </row>
    <row r="76" spans="1:11" x14ac:dyDescent="0.25">
      <c r="A76" s="10" t="str">
        <f>tbl_Internal[[#This Row],[Account]] &amp; "-" &amp; tbl_Internal[[#This Row],[Security]] &amp; "-" &amp; TEXT(tbl_Internal[[#This Row],[Date]],"yyyymmdd")</f>
        <v>A006-TSLA-20251031</v>
      </c>
      <c r="B76" s="32">
        <f>VLOOKUP(A76, tbl_Internal[], 2, FALSE)</f>
        <v>45961</v>
      </c>
      <c r="C76" s="34" t="str">
        <f>VLOOKUP(A76, tbl_Internal[], 3, FALSE)</f>
        <v>A006</v>
      </c>
      <c r="D76" s="34" t="str">
        <f>VLOOKUP(A76, tbl_Internal[], 4, FALSE)</f>
        <v>TSLA</v>
      </c>
      <c r="E76" s="2">
        <f>IFERROR(VLOOKUP(A76, tbl_Internal[], 5, FALSE), "")</f>
        <v>73</v>
      </c>
      <c r="F76" s="2">
        <f>IFERROR(VLOOKUP(A76, tbl_Internal[], 6, FALSE), "")</f>
        <v>21242.69</v>
      </c>
      <c r="G76" s="2">
        <f>IFERROR(VLOOKUP(A76, tbl_Custodian[], 5, FALSE), "")</f>
        <v>73</v>
      </c>
      <c r="H76" s="2">
        <f>IFERROR(VLOOKUP(A76, tbl_Custodian[], 6, FALSE), "")</f>
        <v>21242.69</v>
      </c>
      <c r="I76" s="13">
        <f t="shared" si="3"/>
        <v>0</v>
      </c>
      <c r="J76" s="2">
        <f t="shared" si="4"/>
        <v>0</v>
      </c>
      <c r="K76" s="9" t="str">
        <f t="shared" si="5"/>
        <v>MATCH</v>
      </c>
    </row>
    <row r="77" spans="1:11" x14ac:dyDescent="0.25">
      <c r="A77" s="11" t="str">
        <f>tbl_Internal[[#This Row],[Account]] &amp; "-" &amp; tbl_Internal[[#This Row],[Security]] &amp; "-" &amp; TEXT(tbl_Internal[[#This Row],[Date]],"yyyymmdd")</f>
        <v>A004-JPM-20251021</v>
      </c>
      <c r="B77" s="32">
        <f>VLOOKUP(A77, tbl_Internal[], 2, FALSE)</f>
        <v>45951</v>
      </c>
      <c r="C77" s="34" t="str">
        <f>VLOOKUP(A77, tbl_Internal[], 3, FALSE)</f>
        <v>A004</v>
      </c>
      <c r="D77" s="34" t="str">
        <f>VLOOKUP(A77, tbl_Internal[], 4, FALSE)</f>
        <v>JPM</v>
      </c>
      <c r="E77" s="2">
        <f>IFERROR(VLOOKUP(A77, tbl_Internal[], 5, FALSE), "")</f>
        <v>414</v>
      </c>
      <c r="F77" s="2">
        <f>IFERROR(VLOOKUP(A77, tbl_Internal[], 6, FALSE), "")</f>
        <v>156079.98000000001</v>
      </c>
      <c r="G77" s="2">
        <f>IFERROR(VLOOKUP(A77, tbl_Custodian[], 5, FALSE), "")</f>
        <v>414</v>
      </c>
      <c r="H77" s="2">
        <f>IFERROR(VLOOKUP(A77, tbl_Custodian[], 6, FALSE), "")</f>
        <v>156079.98000000001</v>
      </c>
      <c r="I77" s="13">
        <f t="shared" si="3"/>
        <v>0</v>
      </c>
      <c r="J77" s="2">
        <f t="shared" si="4"/>
        <v>0</v>
      </c>
      <c r="K77" s="9" t="str">
        <f t="shared" si="5"/>
        <v>MATCH</v>
      </c>
    </row>
    <row r="78" spans="1:11" x14ac:dyDescent="0.25">
      <c r="A78" s="10" t="str">
        <f>tbl_Internal[[#This Row],[Account]] &amp; "-" &amp; tbl_Internal[[#This Row],[Security]] &amp; "-" &amp; TEXT(tbl_Internal[[#This Row],[Date]],"yyyymmdd")</f>
        <v>A001-AMZN-20251029</v>
      </c>
      <c r="B78" s="32">
        <f>VLOOKUP(A78, tbl_Internal[], 2, FALSE)</f>
        <v>45959</v>
      </c>
      <c r="C78" s="34" t="str">
        <f>VLOOKUP(A78, tbl_Internal[], 3, FALSE)</f>
        <v>A001</v>
      </c>
      <c r="D78" s="34" t="str">
        <f>VLOOKUP(A78, tbl_Internal[], 4, FALSE)</f>
        <v>AMZN</v>
      </c>
      <c r="E78" s="2">
        <f>IFERROR(VLOOKUP(A78, tbl_Internal[], 5, FALSE), "")</f>
        <v>123</v>
      </c>
      <c r="F78" s="2">
        <f>IFERROR(VLOOKUP(A78, tbl_Internal[], 6, FALSE), "")</f>
        <v>21993.31</v>
      </c>
      <c r="G78" s="2">
        <f>IFERROR(VLOOKUP(A78, tbl_Custodian[], 5, FALSE), "")</f>
        <v>123</v>
      </c>
      <c r="H78" s="2">
        <f>IFERROR(VLOOKUP(A78, tbl_Custodian[], 6, FALSE), "")</f>
        <v>21993.31</v>
      </c>
      <c r="I78" s="13">
        <f t="shared" si="3"/>
        <v>0</v>
      </c>
      <c r="J78" s="2">
        <f t="shared" si="4"/>
        <v>0</v>
      </c>
      <c r="K78" s="9" t="str">
        <f t="shared" si="5"/>
        <v>MATCH</v>
      </c>
    </row>
    <row r="79" spans="1:11" x14ac:dyDescent="0.25">
      <c r="A79" s="11" t="str">
        <f>tbl_Internal[[#This Row],[Account]] &amp; "-" &amp; tbl_Internal[[#This Row],[Security]] &amp; "-" &amp; TEXT(tbl_Internal[[#This Row],[Date]],"yyyymmdd")</f>
        <v>A004-NVDA-20251030</v>
      </c>
      <c r="B79" s="32">
        <f>VLOOKUP(A79, tbl_Internal[], 2, FALSE)</f>
        <v>45960</v>
      </c>
      <c r="C79" s="34" t="str">
        <f>VLOOKUP(A79, tbl_Internal[], 3, FALSE)</f>
        <v>A004</v>
      </c>
      <c r="D79" s="34" t="str">
        <f>VLOOKUP(A79, tbl_Internal[], 4, FALSE)</f>
        <v>NVDA</v>
      </c>
      <c r="E79" s="2">
        <f>IFERROR(VLOOKUP(A79, tbl_Internal[], 5, FALSE), "")</f>
        <v>414</v>
      </c>
      <c r="F79" s="2">
        <f>IFERROR(VLOOKUP(A79, tbl_Internal[], 6, FALSE), "")</f>
        <v>100515.59</v>
      </c>
      <c r="G79" s="2">
        <f>IFERROR(VLOOKUP(A79, tbl_Custodian[], 5, FALSE), "")</f>
        <v>414</v>
      </c>
      <c r="H79" s="2">
        <f>IFERROR(VLOOKUP(A79, tbl_Custodian[], 6, FALSE), "")</f>
        <v>100515.59</v>
      </c>
      <c r="I79" s="13">
        <f t="shared" si="3"/>
        <v>0</v>
      </c>
      <c r="J79" s="2">
        <f t="shared" si="4"/>
        <v>0</v>
      </c>
      <c r="K79" s="9" t="str">
        <f t="shared" si="5"/>
        <v>MATCH</v>
      </c>
    </row>
    <row r="80" spans="1:11" x14ac:dyDescent="0.25">
      <c r="A80" s="10" t="str">
        <f>tbl_Internal[[#This Row],[Account]] &amp; "-" &amp; tbl_Internal[[#This Row],[Security]] &amp; "-" &amp; TEXT(tbl_Internal[[#This Row],[Date]],"yyyymmdd")</f>
        <v>A006-NVDA-20251008</v>
      </c>
      <c r="B80" s="32">
        <f>VLOOKUP(A80, tbl_Internal[], 2, FALSE)</f>
        <v>45938</v>
      </c>
      <c r="C80" s="34" t="str">
        <f>VLOOKUP(A80, tbl_Internal[], 3, FALSE)</f>
        <v>A006</v>
      </c>
      <c r="D80" s="34" t="str">
        <f>VLOOKUP(A80, tbl_Internal[], 4, FALSE)</f>
        <v>NVDA</v>
      </c>
      <c r="E80" s="2">
        <f>IFERROR(VLOOKUP(A80, tbl_Internal[], 5, FALSE), "")</f>
        <v>452</v>
      </c>
      <c r="F80" s="2">
        <f>IFERROR(VLOOKUP(A80, tbl_Internal[], 6, FALSE), "")</f>
        <v>68499.350000000006</v>
      </c>
      <c r="G80" s="2">
        <f>IFERROR(VLOOKUP(A80, tbl_Custodian[], 5, FALSE), "")</f>
        <v>452</v>
      </c>
      <c r="H80" s="2">
        <f>IFERROR(VLOOKUP(A80, tbl_Custodian[], 6, FALSE), "")</f>
        <v>68499.350000000006</v>
      </c>
      <c r="I80" s="13">
        <f t="shared" si="3"/>
        <v>0</v>
      </c>
      <c r="J80" s="2">
        <f t="shared" si="4"/>
        <v>0</v>
      </c>
      <c r="K80" s="9" t="str">
        <f t="shared" si="5"/>
        <v>MATCH</v>
      </c>
    </row>
    <row r="81" spans="1:11" x14ac:dyDescent="0.25">
      <c r="A81" s="11" t="str">
        <f>tbl_Internal[[#This Row],[Account]] &amp; "-" &amp; tbl_Internal[[#This Row],[Security]] &amp; "-" &amp; TEXT(tbl_Internal[[#This Row],[Date]],"yyyymmdd")</f>
        <v>A009-BABA-20251008</v>
      </c>
      <c r="B81" s="32">
        <f>VLOOKUP(A81, tbl_Internal[], 2, FALSE)</f>
        <v>45938</v>
      </c>
      <c r="C81" s="34" t="str">
        <f>VLOOKUP(A81, tbl_Internal[], 3, FALSE)</f>
        <v>A009</v>
      </c>
      <c r="D81" s="34" t="str">
        <f>VLOOKUP(A81, tbl_Internal[], 4, FALSE)</f>
        <v>BABA</v>
      </c>
      <c r="E81" s="2">
        <f>IFERROR(VLOOKUP(A81, tbl_Internal[], 5, FALSE), "")</f>
        <v>67</v>
      </c>
      <c r="F81" s="2">
        <f>IFERROR(VLOOKUP(A81, tbl_Internal[], 6, FALSE), "")</f>
        <v>21617.73</v>
      </c>
      <c r="G81" s="2">
        <f>IFERROR(VLOOKUP(A81, tbl_Custodian[], 5, FALSE), "")</f>
        <v>67</v>
      </c>
      <c r="H81" s="2">
        <f>IFERROR(VLOOKUP(A81, tbl_Custodian[], 6, FALSE), "")</f>
        <v>21630.7610977941</v>
      </c>
      <c r="I81" s="13">
        <f t="shared" si="3"/>
        <v>0</v>
      </c>
      <c r="J81" s="2">
        <f t="shared" si="4"/>
        <v>-13.031097794100788</v>
      </c>
      <c r="K81" s="9" t="str">
        <f t="shared" si="5"/>
        <v>MISMATCH</v>
      </c>
    </row>
    <row r="82" spans="1:11" x14ac:dyDescent="0.25">
      <c r="A82" s="10" t="str">
        <f>tbl_Internal[[#This Row],[Account]] &amp; "-" &amp; tbl_Internal[[#This Row],[Security]] &amp; "-" &amp; TEXT(tbl_Internal[[#This Row],[Date]],"yyyymmdd")</f>
        <v>A005-NVDA-20251021</v>
      </c>
      <c r="B82" s="32">
        <f>VLOOKUP(A82, tbl_Internal[], 2, FALSE)</f>
        <v>45951</v>
      </c>
      <c r="C82" s="34" t="str">
        <f>VLOOKUP(A82, tbl_Internal[], 3, FALSE)</f>
        <v>A005</v>
      </c>
      <c r="D82" s="34" t="str">
        <f>VLOOKUP(A82, tbl_Internal[], 4, FALSE)</f>
        <v>NVDA</v>
      </c>
      <c r="E82" s="2">
        <f>IFERROR(VLOOKUP(A82, tbl_Internal[], 5, FALSE), "")</f>
        <v>59</v>
      </c>
      <c r="F82" s="2">
        <f>IFERROR(VLOOKUP(A82, tbl_Internal[], 6, FALSE), "")</f>
        <v>10361.469999999999</v>
      </c>
      <c r="G82" s="2">
        <f>IFERROR(VLOOKUP(A82, tbl_Custodian[], 5, FALSE), "")</f>
        <v>59</v>
      </c>
      <c r="H82" s="2">
        <f>IFERROR(VLOOKUP(A82, tbl_Custodian[], 6, FALSE), "")</f>
        <v>10361.469999999999</v>
      </c>
      <c r="I82" s="13">
        <f t="shared" si="3"/>
        <v>0</v>
      </c>
      <c r="J82" s="2">
        <f t="shared" si="4"/>
        <v>0</v>
      </c>
      <c r="K82" s="9" t="str">
        <f t="shared" si="5"/>
        <v>MATCH</v>
      </c>
    </row>
    <row r="83" spans="1:11" x14ac:dyDescent="0.25">
      <c r="A83" s="11" t="str">
        <f>tbl_Internal[[#This Row],[Account]] &amp; "-" &amp; tbl_Internal[[#This Row],[Security]] &amp; "-" &amp; TEXT(tbl_Internal[[#This Row],[Date]],"yyyymmdd")</f>
        <v>A004-TSLA-20251019</v>
      </c>
      <c r="B83" s="32">
        <f>VLOOKUP(A83, tbl_Internal[], 2, FALSE)</f>
        <v>45949</v>
      </c>
      <c r="C83" s="34" t="str">
        <f>VLOOKUP(A83, tbl_Internal[], 3, FALSE)</f>
        <v>A004</v>
      </c>
      <c r="D83" s="34" t="str">
        <f>VLOOKUP(A83, tbl_Internal[], 4, FALSE)</f>
        <v>TSLA</v>
      </c>
      <c r="E83" s="2">
        <f>IFERROR(VLOOKUP(A83, tbl_Internal[], 5, FALSE), "")</f>
        <v>364</v>
      </c>
      <c r="F83" s="2">
        <f>IFERROR(VLOOKUP(A83, tbl_Internal[], 6, FALSE), "")</f>
        <v>138568.26999999999</v>
      </c>
      <c r="G83" s="2">
        <f>IFERROR(VLOOKUP(A83, tbl_Custodian[], 5, FALSE), "")</f>
        <v>364</v>
      </c>
      <c r="H83" s="2">
        <f>IFERROR(VLOOKUP(A83, tbl_Custodian[], 6, FALSE), "")</f>
        <v>138568.26999999999</v>
      </c>
      <c r="I83" s="13">
        <f t="shared" si="3"/>
        <v>0</v>
      </c>
      <c r="J83" s="2">
        <f t="shared" si="4"/>
        <v>0</v>
      </c>
      <c r="K83" s="9" t="str">
        <f t="shared" si="5"/>
        <v>MATCH</v>
      </c>
    </row>
    <row r="84" spans="1:11" x14ac:dyDescent="0.25">
      <c r="A84" s="10" t="str">
        <f>tbl_Internal[[#This Row],[Account]] &amp; "-" &amp; tbl_Internal[[#This Row],[Security]] &amp; "-" &amp; TEXT(tbl_Internal[[#This Row],[Date]],"yyyymmdd")</f>
        <v>A010-GOOGL-20251004</v>
      </c>
      <c r="B84" s="32">
        <f>VLOOKUP(A84, tbl_Internal[], 2, FALSE)</f>
        <v>45934</v>
      </c>
      <c r="C84" s="34" t="str">
        <f>VLOOKUP(A84, tbl_Internal[], 3, FALSE)</f>
        <v>A010</v>
      </c>
      <c r="D84" s="34" t="str">
        <f>VLOOKUP(A84, tbl_Internal[], 4, FALSE)</f>
        <v>GOOGL</v>
      </c>
      <c r="E84" s="2">
        <f>IFERROR(VLOOKUP(A84, tbl_Internal[], 5, FALSE), "")</f>
        <v>118</v>
      </c>
      <c r="F84" s="2">
        <f>IFERROR(VLOOKUP(A84, tbl_Internal[], 6, FALSE), "")</f>
        <v>28389.66</v>
      </c>
      <c r="G84" s="2">
        <f>IFERROR(VLOOKUP(A84, tbl_Custodian[], 5, FALSE), "")</f>
        <v>118</v>
      </c>
      <c r="H84" s="2">
        <f>IFERROR(VLOOKUP(A84, tbl_Custodian[], 6, FALSE), "")</f>
        <v>28389.66</v>
      </c>
      <c r="I84" s="13">
        <f t="shared" si="3"/>
        <v>0</v>
      </c>
      <c r="J84" s="2">
        <f t="shared" si="4"/>
        <v>0</v>
      </c>
      <c r="K84" s="9" t="str">
        <f t="shared" si="5"/>
        <v>MATCH</v>
      </c>
    </row>
    <row r="85" spans="1:11" x14ac:dyDescent="0.25">
      <c r="A85" s="11" t="str">
        <f>tbl_Internal[[#This Row],[Account]] &amp; "-" &amp; tbl_Internal[[#This Row],[Security]] &amp; "-" &amp; TEXT(tbl_Internal[[#This Row],[Date]],"yyyymmdd")</f>
        <v>A006-JPM-20251023</v>
      </c>
      <c r="B85" s="32">
        <f>VLOOKUP(A85, tbl_Internal[], 2, FALSE)</f>
        <v>45953</v>
      </c>
      <c r="C85" s="34" t="str">
        <f>VLOOKUP(A85, tbl_Internal[], 3, FALSE)</f>
        <v>A006</v>
      </c>
      <c r="D85" s="34" t="str">
        <f>VLOOKUP(A85, tbl_Internal[], 4, FALSE)</f>
        <v>JPM</v>
      </c>
      <c r="E85" s="2">
        <f>IFERROR(VLOOKUP(A85, tbl_Internal[], 5, FALSE), "")</f>
        <v>427</v>
      </c>
      <c r="F85" s="2">
        <f>IFERROR(VLOOKUP(A85, tbl_Internal[], 6, FALSE), "")</f>
        <v>85040.67</v>
      </c>
      <c r="G85" s="2">
        <f>IFERROR(VLOOKUP(A85, tbl_Custodian[], 5, FALSE), "")</f>
        <v>427</v>
      </c>
      <c r="H85" s="2">
        <f>IFERROR(VLOOKUP(A85, tbl_Custodian[], 6, FALSE), "")</f>
        <v>85040.67</v>
      </c>
      <c r="I85" s="13">
        <f t="shared" si="3"/>
        <v>0</v>
      </c>
      <c r="J85" s="2">
        <f t="shared" si="4"/>
        <v>0</v>
      </c>
      <c r="K85" s="9" t="str">
        <f t="shared" si="5"/>
        <v>MATCH</v>
      </c>
    </row>
    <row r="86" spans="1:11" x14ac:dyDescent="0.25">
      <c r="A86" s="10" t="str">
        <f>tbl_Internal[[#This Row],[Account]] &amp; "-" &amp; tbl_Internal[[#This Row],[Security]] &amp; "-" &amp; TEXT(tbl_Internal[[#This Row],[Date]],"yyyymmdd")</f>
        <v>A005-NVDA-20251008</v>
      </c>
      <c r="B86" s="32">
        <f>VLOOKUP(A86, tbl_Internal[], 2, FALSE)</f>
        <v>45938</v>
      </c>
      <c r="C86" s="34" t="str">
        <f>VLOOKUP(A86, tbl_Internal[], 3, FALSE)</f>
        <v>A005</v>
      </c>
      <c r="D86" s="34" t="str">
        <f>VLOOKUP(A86, tbl_Internal[], 4, FALSE)</f>
        <v>NVDA</v>
      </c>
      <c r="E86" s="2">
        <f>IFERROR(VLOOKUP(A86, tbl_Internal[], 5, FALSE), "")</f>
        <v>165</v>
      </c>
      <c r="F86" s="2">
        <f>IFERROR(VLOOKUP(A86, tbl_Internal[], 6, FALSE), "")</f>
        <v>46300.67</v>
      </c>
      <c r="G86" s="2">
        <f>IFERROR(VLOOKUP(A86, tbl_Custodian[], 5, FALSE), "")</f>
        <v>165</v>
      </c>
      <c r="H86" s="2">
        <f>IFERROR(VLOOKUP(A86, tbl_Custodian[], 6, FALSE), "")</f>
        <v>46300.67</v>
      </c>
      <c r="I86" s="13">
        <f t="shared" si="3"/>
        <v>0</v>
      </c>
      <c r="J86" s="2">
        <f t="shared" si="4"/>
        <v>0</v>
      </c>
      <c r="K86" s="9" t="str">
        <f t="shared" si="5"/>
        <v>MATCH</v>
      </c>
    </row>
    <row r="87" spans="1:11" x14ac:dyDescent="0.25">
      <c r="A87" s="11" t="str">
        <f>tbl_Internal[[#This Row],[Account]] &amp; "-" &amp; tbl_Internal[[#This Row],[Security]] &amp; "-" &amp; TEXT(tbl_Internal[[#This Row],[Date]],"yyyymmdd")</f>
        <v>A004-AAPL-20251009</v>
      </c>
      <c r="B87" s="32">
        <f>VLOOKUP(A87, tbl_Internal[], 2, FALSE)</f>
        <v>45939</v>
      </c>
      <c r="C87" s="34" t="str">
        <f>VLOOKUP(A87, tbl_Internal[], 3, FALSE)</f>
        <v>A004</v>
      </c>
      <c r="D87" s="34" t="str">
        <f>VLOOKUP(A87, tbl_Internal[], 4, FALSE)</f>
        <v>AAPL</v>
      </c>
      <c r="E87" s="2">
        <f>IFERROR(VLOOKUP(A87, tbl_Internal[], 5, FALSE), "")</f>
        <v>195</v>
      </c>
      <c r="F87" s="2">
        <f>IFERROR(VLOOKUP(A87, tbl_Internal[], 6, FALSE), "")</f>
        <v>24693.22</v>
      </c>
      <c r="G87" s="2">
        <f>IFERROR(VLOOKUP(A87, tbl_Custodian[], 5, FALSE), "")</f>
        <v>195</v>
      </c>
      <c r="H87" s="2">
        <f>IFERROR(VLOOKUP(A87, tbl_Custodian[], 6, FALSE), "")</f>
        <v>24693.22</v>
      </c>
      <c r="I87" s="13">
        <f t="shared" si="3"/>
        <v>0</v>
      </c>
      <c r="J87" s="2">
        <f t="shared" si="4"/>
        <v>0</v>
      </c>
      <c r="K87" s="9" t="str">
        <f t="shared" si="5"/>
        <v>MATCH</v>
      </c>
    </row>
    <row r="88" spans="1:11" x14ac:dyDescent="0.25">
      <c r="A88" s="10" t="str">
        <f>tbl_Internal[[#This Row],[Account]] &amp; "-" &amp; tbl_Internal[[#This Row],[Security]] &amp; "-" &amp; TEXT(tbl_Internal[[#This Row],[Date]],"yyyymmdd")</f>
        <v>A004-MSFT-20251031</v>
      </c>
      <c r="B88" s="32">
        <f>VLOOKUP(A88, tbl_Internal[], 2, FALSE)</f>
        <v>45961</v>
      </c>
      <c r="C88" s="34" t="str">
        <f>VLOOKUP(A88, tbl_Internal[], 3, FALSE)</f>
        <v>A004</v>
      </c>
      <c r="D88" s="34" t="str">
        <f>VLOOKUP(A88, tbl_Internal[], 4, FALSE)</f>
        <v>MSFT</v>
      </c>
      <c r="E88" s="2">
        <f>IFERROR(VLOOKUP(A88, tbl_Internal[], 5, FALSE), "")</f>
        <v>154</v>
      </c>
      <c r="F88" s="2">
        <f>IFERROR(VLOOKUP(A88, tbl_Internal[], 6, FALSE), "")</f>
        <v>59290.49</v>
      </c>
      <c r="G88" s="2">
        <f>IFERROR(VLOOKUP(A88, tbl_Custodian[], 5, FALSE), "")</f>
        <v>154</v>
      </c>
      <c r="H88" s="2">
        <f>IFERROR(VLOOKUP(A88, tbl_Custodian[], 6, FALSE), "")</f>
        <v>59290.49</v>
      </c>
      <c r="I88" s="13">
        <f t="shared" si="3"/>
        <v>0</v>
      </c>
      <c r="J88" s="2">
        <f t="shared" si="4"/>
        <v>0</v>
      </c>
      <c r="K88" s="9" t="str">
        <f t="shared" si="5"/>
        <v>MATCH</v>
      </c>
    </row>
    <row r="89" spans="1:11" x14ac:dyDescent="0.25">
      <c r="A89" s="11" t="str">
        <f>tbl_Internal[[#This Row],[Account]] &amp; "-" &amp; tbl_Internal[[#This Row],[Security]] &amp; "-" &amp; TEXT(tbl_Internal[[#This Row],[Date]],"yyyymmdd")</f>
        <v>A006-BABA-20251022</v>
      </c>
      <c r="B89" s="32">
        <f>VLOOKUP(A89, tbl_Internal[], 2, FALSE)</f>
        <v>45952</v>
      </c>
      <c r="C89" s="34" t="str">
        <f>VLOOKUP(A89, tbl_Internal[], 3, FALSE)</f>
        <v>A006</v>
      </c>
      <c r="D89" s="34" t="str">
        <f>VLOOKUP(A89, tbl_Internal[], 4, FALSE)</f>
        <v>BABA</v>
      </c>
      <c r="E89" s="2">
        <f>IFERROR(VLOOKUP(A89, tbl_Internal[], 5, FALSE), "")</f>
        <v>300</v>
      </c>
      <c r="F89" s="2">
        <f>IFERROR(VLOOKUP(A89, tbl_Internal[], 6, FALSE), "")</f>
        <v>113453.18</v>
      </c>
      <c r="G89" s="2">
        <f>IFERROR(VLOOKUP(A89, tbl_Custodian[], 5, FALSE), "")</f>
        <v>300</v>
      </c>
      <c r="H89" s="2">
        <f>IFERROR(VLOOKUP(A89, tbl_Custodian[], 6, FALSE), "")</f>
        <v>113453.18</v>
      </c>
      <c r="I89" s="13">
        <f t="shared" si="3"/>
        <v>0</v>
      </c>
      <c r="J89" s="2">
        <f t="shared" si="4"/>
        <v>0</v>
      </c>
      <c r="K89" s="9" t="str">
        <f t="shared" si="5"/>
        <v>MATCH</v>
      </c>
    </row>
    <row r="90" spans="1:11" x14ac:dyDescent="0.25">
      <c r="A90" s="10" t="str">
        <f>tbl_Internal[[#This Row],[Account]] &amp; "-" &amp; tbl_Internal[[#This Row],[Security]] &amp; "-" &amp; TEXT(tbl_Internal[[#This Row],[Date]],"yyyymmdd")</f>
        <v>A010-AMZN-20251020</v>
      </c>
      <c r="B90" s="32">
        <f>VLOOKUP(A90, tbl_Internal[], 2, FALSE)</f>
        <v>45950</v>
      </c>
      <c r="C90" s="34" t="str">
        <f>VLOOKUP(A90, tbl_Internal[], 3, FALSE)</f>
        <v>A010</v>
      </c>
      <c r="D90" s="34" t="str">
        <f>VLOOKUP(A90, tbl_Internal[], 4, FALSE)</f>
        <v>AMZN</v>
      </c>
      <c r="E90" s="2">
        <f>IFERROR(VLOOKUP(A90, tbl_Internal[], 5, FALSE), "")</f>
        <v>140</v>
      </c>
      <c r="F90" s="2">
        <f>IFERROR(VLOOKUP(A90, tbl_Internal[], 6, FALSE), "")</f>
        <v>18036.990000000002</v>
      </c>
      <c r="G90" s="2">
        <f>IFERROR(VLOOKUP(A90, tbl_Custodian[], 5, FALSE), "")</f>
        <v>140</v>
      </c>
      <c r="H90" s="2">
        <f>IFERROR(VLOOKUP(A90, tbl_Custodian[], 6, FALSE), "")</f>
        <v>18036.990000000002</v>
      </c>
      <c r="I90" s="13">
        <f t="shared" si="3"/>
        <v>0</v>
      </c>
      <c r="J90" s="2">
        <f t="shared" si="4"/>
        <v>0</v>
      </c>
      <c r="K90" s="9" t="str">
        <f t="shared" si="5"/>
        <v>MATCH</v>
      </c>
    </row>
    <row r="91" spans="1:11" x14ac:dyDescent="0.25">
      <c r="A91" s="11" t="str">
        <f>tbl_Internal[[#This Row],[Account]] &amp; "-" &amp; tbl_Internal[[#This Row],[Security]] &amp; "-" &amp; TEXT(tbl_Internal[[#This Row],[Date]],"yyyymmdd")</f>
        <v>A004-MSFT-20251023</v>
      </c>
      <c r="B91" s="32">
        <f>VLOOKUP(A91, tbl_Internal[], 2, FALSE)</f>
        <v>45953</v>
      </c>
      <c r="C91" s="34" t="str">
        <f>VLOOKUP(A91, tbl_Internal[], 3, FALSE)</f>
        <v>A004</v>
      </c>
      <c r="D91" s="34" t="str">
        <f>VLOOKUP(A91, tbl_Internal[], 4, FALSE)</f>
        <v>MSFT</v>
      </c>
      <c r="E91" s="2">
        <f>IFERROR(VLOOKUP(A91, tbl_Internal[], 5, FALSE), "")</f>
        <v>342</v>
      </c>
      <c r="F91" s="2">
        <f>IFERROR(VLOOKUP(A91, tbl_Internal[], 6, FALSE), "")</f>
        <v>143713.85</v>
      </c>
      <c r="G91" s="2">
        <f>IFERROR(VLOOKUP(A91, tbl_Custodian[], 5, FALSE), "")</f>
        <v>342</v>
      </c>
      <c r="H91" s="2">
        <f>IFERROR(VLOOKUP(A91, tbl_Custodian[], 6, FALSE), "")</f>
        <v>143713.85</v>
      </c>
      <c r="I91" s="13">
        <f t="shared" si="3"/>
        <v>0</v>
      </c>
      <c r="J91" s="2">
        <f t="shared" si="4"/>
        <v>0</v>
      </c>
      <c r="K91" s="9" t="str">
        <f t="shared" si="5"/>
        <v>MATCH</v>
      </c>
    </row>
    <row r="92" spans="1:11" x14ac:dyDescent="0.25">
      <c r="A92" s="10" t="str">
        <f>tbl_Internal[[#This Row],[Account]] &amp; "-" &amp; tbl_Internal[[#This Row],[Security]] &amp; "-" &amp; TEXT(tbl_Internal[[#This Row],[Date]],"yyyymmdd")</f>
        <v>A001-AAPL-20251005</v>
      </c>
      <c r="B92" s="32">
        <f>VLOOKUP(A92, tbl_Internal[], 2, FALSE)</f>
        <v>45935</v>
      </c>
      <c r="C92" s="34" t="str">
        <f>VLOOKUP(A92, tbl_Internal[], 3, FALSE)</f>
        <v>A001</v>
      </c>
      <c r="D92" s="34" t="str">
        <f>VLOOKUP(A92, tbl_Internal[], 4, FALSE)</f>
        <v>AAPL</v>
      </c>
      <c r="E92" s="2">
        <f>IFERROR(VLOOKUP(A92, tbl_Internal[], 5, FALSE), "")</f>
        <v>368</v>
      </c>
      <c r="F92" s="2">
        <f>IFERROR(VLOOKUP(A92, tbl_Internal[], 6, FALSE), "")</f>
        <v>122032.52</v>
      </c>
      <c r="G92" s="2">
        <f>IFERROR(VLOOKUP(A92, tbl_Custodian[], 5, FALSE), "")</f>
        <v>368</v>
      </c>
      <c r="H92" s="2">
        <f>IFERROR(VLOOKUP(A92, tbl_Custodian[], 6, FALSE), "")</f>
        <v>122032.52</v>
      </c>
      <c r="I92" s="13">
        <f t="shared" si="3"/>
        <v>0</v>
      </c>
      <c r="J92" s="2">
        <f t="shared" si="4"/>
        <v>0</v>
      </c>
      <c r="K92" s="9" t="str">
        <f t="shared" si="5"/>
        <v>MATCH</v>
      </c>
    </row>
    <row r="93" spans="1:11" x14ac:dyDescent="0.25">
      <c r="A93" s="11" t="str">
        <f>tbl_Internal[[#This Row],[Account]] &amp; "-" &amp; tbl_Internal[[#This Row],[Security]] &amp; "-" &amp; TEXT(tbl_Internal[[#This Row],[Date]],"yyyymmdd")</f>
        <v>A004-JPM-20251024</v>
      </c>
      <c r="B93" s="32">
        <f>VLOOKUP(A93, tbl_Internal[], 2, FALSE)</f>
        <v>45954</v>
      </c>
      <c r="C93" s="34" t="str">
        <f>VLOOKUP(A93, tbl_Internal[], 3, FALSE)</f>
        <v>A004</v>
      </c>
      <c r="D93" s="34" t="str">
        <f>VLOOKUP(A93, tbl_Internal[], 4, FALSE)</f>
        <v>JPM</v>
      </c>
      <c r="E93" s="2">
        <f>IFERROR(VLOOKUP(A93, tbl_Internal[], 5, FALSE), "")</f>
        <v>445</v>
      </c>
      <c r="F93" s="2">
        <f>IFERROR(VLOOKUP(A93, tbl_Internal[], 6, FALSE), "")</f>
        <v>53599.16</v>
      </c>
      <c r="G93" s="2">
        <f>IFERROR(VLOOKUP(A93, tbl_Custodian[], 5, FALSE), "")</f>
        <v>445</v>
      </c>
      <c r="H93" s="2">
        <f>IFERROR(VLOOKUP(A93, tbl_Custodian[], 6, FALSE), "")</f>
        <v>53599.16</v>
      </c>
      <c r="I93" s="13">
        <f t="shared" si="3"/>
        <v>0</v>
      </c>
      <c r="J93" s="2">
        <f t="shared" si="4"/>
        <v>0</v>
      </c>
      <c r="K93" s="9" t="str">
        <f t="shared" si="5"/>
        <v>MATCH</v>
      </c>
    </row>
    <row r="94" spans="1:11" x14ac:dyDescent="0.25">
      <c r="A94" s="10" t="str">
        <f>tbl_Internal[[#This Row],[Account]] &amp; "-" &amp; tbl_Internal[[#This Row],[Security]] &amp; "-" &amp; TEXT(tbl_Internal[[#This Row],[Date]],"yyyymmdd")</f>
        <v>A004-NVDA-20251022</v>
      </c>
      <c r="B94" s="32">
        <f>VLOOKUP(A94, tbl_Internal[], 2, FALSE)</f>
        <v>45952</v>
      </c>
      <c r="C94" s="34" t="str">
        <f>VLOOKUP(A94, tbl_Internal[], 3, FALSE)</f>
        <v>A004</v>
      </c>
      <c r="D94" s="34" t="str">
        <f>VLOOKUP(A94, tbl_Internal[], 4, FALSE)</f>
        <v>NVDA</v>
      </c>
      <c r="E94" s="2">
        <f>IFERROR(VLOOKUP(A94, tbl_Internal[], 5, FALSE), "")</f>
        <v>423</v>
      </c>
      <c r="F94" s="2">
        <f>IFERROR(VLOOKUP(A94, tbl_Internal[], 6, FALSE), "")</f>
        <v>76880.800000000003</v>
      </c>
      <c r="G94" s="2">
        <f>IFERROR(VLOOKUP(A94, tbl_Custodian[], 5, FALSE), "")</f>
        <v>423</v>
      </c>
      <c r="H94" s="2">
        <f>IFERROR(VLOOKUP(A94, tbl_Custodian[], 6, FALSE), "")</f>
        <v>76880.800000000003</v>
      </c>
      <c r="I94" s="13">
        <f t="shared" si="3"/>
        <v>0</v>
      </c>
      <c r="J94" s="2">
        <f t="shared" si="4"/>
        <v>0</v>
      </c>
      <c r="K94" s="9" t="str">
        <f t="shared" si="5"/>
        <v>MATCH</v>
      </c>
    </row>
    <row r="95" spans="1:11" x14ac:dyDescent="0.25">
      <c r="A95" s="11" t="str">
        <f>tbl_Internal[[#This Row],[Account]] &amp; "-" &amp; tbl_Internal[[#This Row],[Security]] &amp; "-" &amp; TEXT(tbl_Internal[[#This Row],[Date]],"yyyymmdd")</f>
        <v>A002-META-20251006</v>
      </c>
      <c r="B95" s="32">
        <f>VLOOKUP(A95, tbl_Internal[], 2, FALSE)</f>
        <v>45936</v>
      </c>
      <c r="C95" s="34" t="str">
        <f>VLOOKUP(A95, tbl_Internal[], 3, FALSE)</f>
        <v>A002</v>
      </c>
      <c r="D95" s="34" t="str">
        <f>VLOOKUP(A95, tbl_Internal[], 4, FALSE)</f>
        <v>META</v>
      </c>
      <c r="E95" s="2">
        <f>IFERROR(VLOOKUP(A95, tbl_Internal[], 5, FALSE), "")</f>
        <v>102</v>
      </c>
      <c r="F95" s="2">
        <f>IFERROR(VLOOKUP(A95, tbl_Internal[], 6, FALSE), "")</f>
        <v>20737.53</v>
      </c>
      <c r="G95" s="2">
        <f>IFERROR(VLOOKUP(A95, tbl_Custodian[], 5, FALSE), "")</f>
        <v>102</v>
      </c>
      <c r="H95" s="2">
        <f>IFERROR(VLOOKUP(A95, tbl_Custodian[], 6, FALSE), "")</f>
        <v>20737.53</v>
      </c>
      <c r="I95" s="13">
        <f t="shared" si="3"/>
        <v>0</v>
      </c>
      <c r="J95" s="2">
        <f t="shared" si="4"/>
        <v>0</v>
      </c>
      <c r="K95" s="9" t="str">
        <f t="shared" si="5"/>
        <v>MATCH</v>
      </c>
    </row>
    <row r="96" spans="1:11" x14ac:dyDescent="0.25">
      <c r="A96" s="10" t="str">
        <f>tbl_Internal[[#This Row],[Account]] &amp; "-" &amp; tbl_Internal[[#This Row],[Security]] &amp; "-" &amp; TEXT(tbl_Internal[[#This Row],[Date]],"yyyymmdd")</f>
        <v>A005-GOOGL-20251005</v>
      </c>
      <c r="B96" s="32">
        <f>VLOOKUP(A96, tbl_Internal[], 2, FALSE)</f>
        <v>45935</v>
      </c>
      <c r="C96" s="34" t="str">
        <f>VLOOKUP(A96, tbl_Internal[], 3, FALSE)</f>
        <v>A005</v>
      </c>
      <c r="D96" s="34" t="str">
        <f>VLOOKUP(A96, tbl_Internal[], 4, FALSE)</f>
        <v>GOOGL</v>
      </c>
      <c r="E96" s="2">
        <f>IFERROR(VLOOKUP(A96, tbl_Internal[], 5, FALSE), "")</f>
        <v>319</v>
      </c>
      <c r="F96" s="2">
        <f>IFERROR(VLOOKUP(A96, tbl_Internal[], 6, FALSE), "")</f>
        <v>54674.79</v>
      </c>
      <c r="G96" s="2">
        <f>IFERROR(VLOOKUP(A96, tbl_Custodian[], 5, FALSE), "")</f>
        <v>319</v>
      </c>
      <c r="H96" s="2">
        <f>IFERROR(VLOOKUP(A96, tbl_Custodian[], 6, FALSE), "")</f>
        <v>54674.79</v>
      </c>
      <c r="I96" s="13">
        <f t="shared" si="3"/>
        <v>0</v>
      </c>
      <c r="J96" s="2">
        <f t="shared" si="4"/>
        <v>0</v>
      </c>
      <c r="K96" s="9" t="str">
        <f t="shared" si="5"/>
        <v>MATCH</v>
      </c>
    </row>
    <row r="97" spans="1:11" x14ac:dyDescent="0.25">
      <c r="A97" s="11" t="str">
        <f>tbl_Internal[[#This Row],[Account]] &amp; "-" &amp; tbl_Internal[[#This Row],[Security]] &amp; "-" &amp; TEXT(tbl_Internal[[#This Row],[Date]],"yyyymmdd")</f>
        <v>A006-META-20251018</v>
      </c>
      <c r="B97" s="32">
        <f>VLOOKUP(A97, tbl_Internal[], 2, FALSE)</f>
        <v>45948</v>
      </c>
      <c r="C97" s="34" t="str">
        <f>VLOOKUP(A97, tbl_Internal[], 3, FALSE)</f>
        <v>A006</v>
      </c>
      <c r="D97" s="34" t="str">
        <f>VLOOKUP(A97, tbl_Internal[], 4, FALSE)</f>
        <v>META</v>
      </c>
      <c r="E97" s="2">
        <f>IFERROR(VLOOKUP(A97, tbl_Internal[], 5, FALSE), "")</f>
        <v>232</v>
      </c>
      <c r="F97" s="2">
        <f>IFERROR(VLOOKUP(A97, tbl_Internal[], 6, FALSE), "")</f>
        <v>55287.62</v>
      </c>
      <c r="G97" s="2">
        <f>IFERROR(VLOOKUP(A97, tbl_Custodian[], 5, FALSE), "")</f>
        <v>232</v>
      </c>
      <c r="H97" s="2">
        <f>IFERROR(VLOOKUP(A97, tbl_Custodian[], 6, FALSE), "")</f>
        <v>55287.62</v>
      </c>
      <c r="I97" s="13">
        <f t="shared" si="3"/>
        <v>0</v>
      </c>
      <c r="J97" s="2">
        <f t="shared" si="4"/>
        <v>0</v>
      </c>
      <c r="K97" s="9" t="str">
        <f t="shared" si="5"/>
        <v>MATCH</v>
      </c>
    </row>
    <row r="98" spans="1:11" x14ac:dyDescent="0.25">
      <c r="A98" s="10" t="str">
        <f>tbl_Internal[[#This Row],[Account]] &amp; "-" &amp; tbl_Internal[[#This Row],[Security]] &amp; "-" &amp; TEXT(tbl_Internal[[#This Row],[Date]],"yyyymmdd")</f>
        <v>A009-META-20251014</v>
      </c>
      <c r="B98" s="32">
        <f>VLOOKUP(A98, tbl_Internal[], 2, FALSE)</f>
        <v>45944</v>
      </c>
      <c r="C98" s="34" t="str">
        <f>VLOOKUP(A98, tbl_Internal[], 3, FALSE)</f>
        <v>A009</v>
      </c>
      <c r="D98" s="34" t="str">
        <f>VLOOKUP(A98, tbl_Internal[], 4, FALSE)</f>
        <v>META</v>
      </c>
      <c r="E98" s="2">
        <f>IFERROR(VLOOKUP(A98, tbl_Internal[], 5, FALSE), "")</f>
        <v>479</v>
      </c>
      <c r="F98" s="2">
        <f>IFERROR(VLOOKUP(A98, tbl_Internal[], 6, FALSE), "")</f>
        <v>60015.91</v>
      </c>
      <c r="G98" s="2">
        <f>IFERROR(VLOOKUP(A98, tbl_Custodian[], 5, FALSE), "")</f>
        <v>479</v>
      </c>
      <c r="H98" s="2">
        <f>IFERROR(VLOOKUP(A98, tbl_Custodian[], 6, FALSE), "")</f>
        <v>60015.91</v>
      </c>
      <c r="I98" s="13">
        <f t="shared" si="3"/>
        <v>0</v>
      </c>
      <c r="J98" s="2">
        <f t="shared" si="4"/>
        <v>0</v>
      </c>
      <c r="K98" s="9" t="str">
        <f t="shared" si="5"/>
        <v>MATCH</v>
      </c>
    </row>
    <row r="99" spans="1:11" x14ac:dyDescent="0.25">
      <c r="A99" s="11" t="str">
        <f>tbl_Internal[[#This Row],[Account]] &amp; "-" &amp; tbl_Internal[[#This Row],[Security]] &amp; "-" &amp; TEXT(tbl_Internal[[#This Row],[Date]],"yyyymmdd")</f>
        <v>A008-BABA-20251019</v>
      </c>
      <c r="B99" s="32">
        <f>VLOOKUP(A99, tbl_Internal[], 2, FALSE)</f>
        <v>45949</v>
      </c>
      <c r="C99" s="34" t="str">
        <f>VLOOKUP(A99, tbl_Internal[], 3, FALSE)</f>
        <v>A008</v>
      </c>
      <c r="D99" s="34" t="str">
        <f>VLOOKUP(A99, tbl_Internal[], 4, FALSE)</f>
        <v>BABA</v>
      </c>
      <c r="E99" s="2">
        <f>IFERROR(VLOOKUP(A99, tbl_Internal[], 5, FALSE), "")</f>
        <v>335</v>
      </c>
      <c r="F99" s="2">
        <f>IFERROR(VLOOKUP(A99, tbl_Internal[], 6, FALSE), "")</f>
        <v>58847.58</v>
      </c>
      <c r="G99" s="2">
        <f>IFERROR(VLOOKUP(A99, tbl_Custodian[], 5, FALSE), "")</f>
        <v>335</v>
      </c>
      <c r="H99" s="2">
        <f>IFERROR(VLOOKUP(A99, tbl_Custodian[], 6, FALSE), "")</f>
        <v>58847.58</v>
      </c>
      <c r="I99" s="13">
        <f t="shared" si="3"/>
        <v>0</v>
      </c>
      <c r="J99" s="2">
        <f t="shared" si="4"/>
        <v>0</v>
      </c>
      <c r="K99" s="9" t="str">
        <f t="shared" si="5"/>
        <v>MATCH</v>
      </c>
    </row>
    <row r="100" spans="1:11" x14ac:dyDescent="0.25">
      <c r="A100" s="10" t="str">
        <f>tbl_Internal[[#This Row],[Account]] &amp; "-" &amp; tbl_Internal[[#This Row],[Security]] &amp; "-" &amp; TEXT(tbl_Internal[[#This Row],[Date]],"yyyymmdd")</f>
        <v>A001-BABA-20251022</v>
      </c>
      <c r="B100" s="32">
        <f>VLOOKUP(A100, tbl_Internal[], 2, FALSE)</f>
        <v>45952</v>
      </c>
      <c r="C100" s="34" t="str">
        <f>VLOOKUP(A100, tbl_Internal[], 3, FALSE)</f>
        <v>A001</v>
      </c>
      <c r="D100" s="34" t="str">
        <f>VLOOKUP(A100, tbl_Internal[], 4, FALSE)</f>
        <v>BABA</v>
      </c>
      <c r="E100" s="2">
        <f>IFERROR(VLOOKUP(A100, tbl_Internal[], 5, FALSE), "")</f>
        <v>140</v>
      </c>
      <c r="F100" s="2">
        <f>IFERROR(VLOOKUP(A100, tbl_Internal[], 6, FALSE), "")</f>
        <v>62657.78</v>
      </c>
      <c r="G100" s="2">
        <f>IFERROR(VLOOKUP(A100, tbl_Custodian[], 5, FALSE), "")</f>
        <v>140</v>
      </c>
      <c r="H100" s="2">
        <f>IFERROR(VLOOKUP(A100, tbl_Custodian[], 6, FALSE), "")</f>
        <v>62657.78</v>
      </c>
      <c r="I100" s="13">
        <f t="shared" si="3"/>
        <v>0</v>
      </c>
      <c r="J100" s="2">
        <f t="shared" si="4"/>
        <v>0</v>
      </c>
      <c r="K100" s="9" t="str">
        <f t="shared" si="5"/>
        <v>MATCH</v>
      </c>
    </row>
    <row r="101" spans="1:11" x14ac:dyDescent="0.25">
      <c r="A101" s="11" t="str">
        <f>tbl_Internal[[#This Row],[Account]] &amp; "-" &amp; tbl_Internal[[#This Row],[Security]] &amp; "-" &amp; TEXT(tbl_Internal[[#This Row],[Date]],"yyyymmdd")</f>
        <v>A009-AAPL-20251028</v>
      </c>
      <c r="B101" s="32">
        <f>VLOOKUP(A101, tbl_Internal[], 2, FALSE)</f>
        <v>45958</v>
      </c>
      <c r="C101" s="34" t="str">
        <f>VLOOKUP(A101, tbl_Internal[], 3, FALSE)</f>
        <v>A009</v>
      </c>
      <c r="D101" s="34" t="str">
        <f>VLOOKUP(A101, tbl_Internal[], 4, FALSE)</f>
        <v>AAPL</v>
      </c>
      <c r="E101" s="2">
        <f>IFERROR(VLOOKUP(A101, tbl_Internal[], 5, FALSE), "")</f>
        <v>323</v>
      </c>
      <c r="F101" s="2">
        <f>IFERROR(VLOOKUP(A101, tbl_Internal[], 6, FALSE), "")</f>
        <v>110989.27</v>
      </c>
      <c r="G101" s="2">
        <f>IFERROR(VLOOKUP(A101, tbl_Custodian[], 5, FALSE), "")</f>
        <v>323</v>
      </c>
      <c r="H101" s="2">
        <f>IFERROR(VLOOKUP(A101, tbl_Custodian[], 6, FALSE), "")</f>
        <v>111407.705669214</v>
      </c>
      <c r="I101" s="13">
        <f t="shared" si="3"/>
        <v>0</v>
      </c>
      <c r="J101" s="2">
        <f t="shared" si="4"/>
        <v>-418.43566921399906</v>
      </c>
      <c r="K101" s="9" t="str">
        <f t="shared" si="5"/>
        <v>MISMATCH</v>
      </c>
    </row>
  </sheetData>
  <conditionalFormatting sqref="K2:K101">
    <cfRule type="containsText" dxfId="1" priority="1" operator="containsText" text="MISMATCH">
      <formula>NOT(ISERROR(SEARCH("MISMATCH",K2)))</formula>
    </cfRule>
    <cfRule type="containsText" dxfId="0" priority="2" operator="containsText" text="MATCH">
      <formula>NOT(ISERROR(SEARCH("MATCH",K2)))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20"/>
  <sheetViews>
    <sheetView tabSelected="1" zoomScale="90" zoomScaleNormal="90" workbookViewId="0">
      <selection activeCell="P23" sqref="P23"/>
    </sheetView>
  </sheetViews>
  <sheetFormatPr defaultRowHeight="15" x14ac:dyDescent="0.25"/>
  <cols>
    <col min="1" max="1" width="21.28515625" style="3" customWidth="1"/>
    <col min="2" max="2" width="13.85546875" style="3" customWidth="1"/>
    <col min="3" max="3" width="11.5703125" customWidth="1"/>
    <col min="4" max="4" width="9.28515625" customWidth="1"/>
    <col min="8" max="8" width="20.7109375" customWidth="1"/>
    <col min="9" max="9" width="21.42578125" customWidth="1"/>
  </cols>
  <sheetData>
    <row r="2" spans="1:2" s="6" customFormat="1" x14ac:dyDescent="0.25">
      <c r="A2" s="5" t="s">
        <v>134</v>
      </c>
      <c r="B2" s="20">
        <f>COUNTA(Reconciliation!A:A)-1</f>
        <v>100</v>
      </c>
    </row>
    <row r="3" spans="1:2" s="17" customFormat="1" x14ac:dyDescent="0.25">
      <c r="A3" s="15" t="s">
        <v>135</v>
      </c>
      <c r="B3" s="16">
        <f>COUNTIF(Reconciliation!K:K,"MATCH")</f>
        <v>90</v>
      </c>
    </row>
    <row r="4" spans="1:2" s="24" customFormat="1" x14ac:dyDescent="0.25">
      <c r="A4" s="22" t="s">
        <v>136</v>
      </c>
      <c r="B4" s="23">
        <f>COUNTIF(Reconciliation!K:K,"MISMATCH")</f>
        <v>10</v>
      </c>
    </row>
    <row r="5" spans="1:2" s="19" customFormat="1" x14ac:dyDescent="0.25">
      <c r="A5" s="18" t="s">
        <v>137</v>
      </c>
      <c r="B5" s="21">
        <f>B3/B2</f>
        <v>0.9</v>
      </c>
    </row>
    <row r="10" spans="1:2" x14ac:dyDescent="0.25">
      <c r="A10" s="3" t="s">
        <v>138</v>
      </c>
      <c r="B10" s="25" t="s">
        <v>139</v>
      </c>
    </row>
    <row r="11" spans="1:2" x14ac:dyDescent="0.25">
      <c r="A11" s="3" t="s">
        <v>140</v>
      </c>
      <c r="B11" s="25">
        <f>COUNTIF(Reconciliation!K:K,"MATCH")</f>
        <v>90</v>
      </c>
    </row>
    <row r="12" spans="1:2" x14ac:dyDescent="0.25">
      <c r="A12" s="3" t="s">
        <v>141</v>
      </c>
      <c r="B12" s="25">
        <f>COUNTIF(Reconciliation!K:K,"MISMATCH")</f>
        <v>10</v>
      </c>
    </row>
    <row r="20" spans="1:9" x14ac:dyDescent="0.25">
      <c r="A20" s="3" t="s">
        <v>126</v>
      </c>
      <c r="B20" s="14" t="s">
        <v>131</v>
      </c>
      <c r="C20" s="27" t="s">
        <v>132</v>
      </c>
    </row>
    <row r="21" spans="1:9" x14ac:dyDescent="0.25">
      <c r="A21" s="3" t="s">
        <v>152</v>
      </c>
      <c r="B21" s="14">
        <v>0</v>
      </c>
      <c r="C21" s="26">
        <v>385.7406007706013</v>
      </c>
    </row>
    <row r="22" spans="1:9" x14ac:dyDescent="0.25">
      <c r="A22" s="3" t="s">
        <v>142</v>
      </c>
      <c r="B22" s="14">
        <v>0</v>
      </c>
      <c r="C22" s="26">
        <v>0</v>
      </c>
    </row>
    <row r="23" spans="1:9" x14ac:dyDescent="0.25">
      <c r="A23" s="3" t="s">
        <v>143</v>
      </c>
      <c r="B23" s="14">
        <v>0</v>
      </c>
      <c r="C23" s="26">
        <v>0</v>
      </c>
    </row>
    <row r="24" spans="1:9" x14ac:dyDescent="0.25">
      <c r="A24" s="3" t="s">
        <v>144</v>
      </c>
      <c r="B24" s="14">
        <v>0</v>
      </c>
      <c r="C24" s="26">
        <v>0</v>
      </c>
    </row>
    <row r="25" spans="1:9" x14ac:dyDescent="0.25">
      <c r="A25" s="3" t="s">
        <v>145</v>
      </c>
      <c r="B25" s="14">
        <v>0</v>
      </c>
      <c r="C25" s="26">
        <v>0</v>
      </c>
    </row>
    <row r="26" spans="1:9" x14ac:dyDescent="0.25">
      <c r="A26" s="3" t="s">
        <v>146</v>
      </c>
      <c r="B26" s="14">
        <v>0</v>
      </c>
      <c r="C26" s="26">
        <v>0</v>
      </c>
    </row>
    <row r="27" spans="1:9" x14ac:dyDescent="0.25">
      <c r="A27" s="3" t="s">
        <v>147</v>
      </c>
      <c r="B27" s="14">
        <v>0</v>
      </c>
      <c r="C27" s="26">
        <v>0</v>
      </c>
    </row>
    <row r="28" spans="1:9" x14ac:dyDescent="0.25">
      <c r="A28" s="3" t="s">
        <v>148</v>
      </c>
      <c r="B28" s="14">
        <v>0</v>
      </c>
      <c r="C28" s="26">
        <v>0</v>
      </c>
    </row>
    <row r="29" spans="1:9" x14ac:dyDescent="0.25">
      <c r="A29" s="3" t="s">
        <v>149</v>
      </c>
      <c r="B29" s="14">
        <v>0</v>
      </c>
      <c r="C29" s="26">
        <v>0</v>
      </c>
      <c r="H29" s="28" t="s">
        <v>133</v>
      </c>
      <c r="I29" t="s">
        <v>141</v>
      </c>
    </row>
    <row r="30" spans="1:9" x14ac:dyDescent="0.25">
      <c r="A30" s="3" t="s">
        <v>150</v>
      </c>
      <c r="B30" s="14">
        <v>0</v>
      </c>
      <c r="C30" s="26">
        <v>0</v>
      </c>
    </row>
    <row r="31" spans="1:9" x14ac:dyDescent="0.25">
      <c r="A31" s="3" t="s">
        <v>151</v>
      </c>
      <c r="B31" s="14">
        <v>0</v>
      </c>
      <c r="C31" s="26">
        <v>0</v>
      </c>
      <c r="H31" s="28" t="s">
        <v>241</v>
      </c>
      <c r="I31" t="s">
        <v>243</v>
      </c>
    </row>
    <row r="32" spans="1:9" x14ac:dyDescent="0.25">
      <c r="A32" s="3" t="s">
        <v>153</v>
      </c>
      <c r="B32" s="14">
        <v>0</v>
      </c>
      <c r="C32" s="26">
        <v>0</v>
      </c>
      <c r="H32" s="29" t="s">
        <v>204</v>
      </c>
      <c r="I32" s="30">
        <v>1</v>
      </c>
    </row>
    <row r="33" spans="1:9" x14ac:dyDescent="0.25">
      <c r="A33" s="3" t="s">
        <v>154</v>
      </c>
      <c r="B33" s="14">
        <v>-4</v>
      </c>
      <c r="C33" s="26">
        <v>0</v>
      </c>
      <c r="H33" s="29" t="s">
        <v>185</v>
      </c>
      <c r="I33" s="30">
        <v>1</v>
      </c>
    </row>
    <row r="34" spans="1:9" x14ac:dyDescent="0.25">
      <c r="A34" s="3" t="s">
        <v>155</v>
      </c>
      <c r="B34" s="14">
        <v>0</v>
      </c>
      <c r="C34" s="26">
        <v>0</v>
      </c>
      <c r="H34" s="29" t="s">
        <v>194</v>
      </c>
      <c r="I34" s="30">
        <v>1</v>
      </c>
    </row>
    <row r="35" spans="1:9" x14ac:dyDescent="0.25">
      <c r="A35" s="3" t="s">
        <v>156</v>
      </c>
      <c r="B35" s="14">
        <v>0</v>
      </c>
      <c r="C35" s="26">
        <v>0</v>
      </c>
      <c r="H35" s="29" t="s">
        <v>152</v>
      </c>
      <c r="I35" s="30">
        <v>1</v>
      </c>
    </row>
    <row r="36" spans="1:9" x14ac:dyDescent="0.25">
      <c r="A36" s="3" t="s">
        <v>157</v>
      </c>
      <c r="B36" s="14">
        <v>0</v>
      </c>
      <c r="C36" s="26">
        <v>0</v>
      </c>
      <c r="H36" s="29" t="s">
        <v>206</v>
      </c>
      <c r="I36" s="30">
        <v>1</v>
      </c>
    </row>
    <row r="37" spans="1:9" x14ac:dyDescent="0.25">
      <c r="A37" s="3" t="s">
        <v>158</v>
      </c>
      <c r="B37" s="14">
        <v>0</v>
      </c>
      <c r="C37" s="26">
        <v>0</v>
      </c>
      <c r="H37" s="29" t="s">
        <v>199</v>
      </c>
      <c r="I37" s="30">
        <v>1</v>
      </c>
    </row>
    <row r="38" spans="1:9" x14ac:dyDescent="0.25">
      <c r="A38" s="3" t="s">
        <v>159</v>
      </c>
      <c r="B38" s="14">
        <v>0</v>
      </c>
      <c r="C38" s="26">
        <v>0</v>
      </c>
      <c r="H38" s="29" t="s">
        <v>154</v>
      </c>
      <c r="I38" s="30">
        <v>1</v>
      </c>
    </row>
    <row r="39" spans="1:9" x14ac:dyDescent="0.25">
      <c r="A39" s="3" t="s">
        <v>160</v>
      </c>
      <c r="B39" s="14">
        <v>0</v>
      </c>
      <c r="C39" s="26">
        <v>0</v>
      </c>
      <c r="H39" s="29" t="s">
        <v>240</v>
      </c>
      <c r="I39" s="30">
        <v>1</v>
      </c>
    </row>
    <row r="40" spans="1:9" x14ac:dyDescent="0.25">
      <c r="A40" s="3" t="s">
        <v>161</v>
      </c>
      <c r="B40" s="14">
        <v>0</v>
      </c>
      <c r="C40" s="26">
        <v>0</v>
      </c>
      <c r="H40" s="29" t="s">
        <v>221</v>
      </c>
      <c r="I40" s="30">
        <v>1</v>
      </c>
    </row>
    <row r="41" spans="1:9" x14ac:dyDescent="0.25">
      <c r="A41" s="3" t="s">
        <v>162</v>
      </c>
      <c r="B41" s="14">
        <v>0</v>
      </c>
      <c r="C41" s="26">
        <v>0</v>
      </c>
      <c r="H41" s="29" t="s">
        <v>212</v>
      </c>
      <c r="I41" s="30">
        <v>1</v>
      </c>
    </row>
    <row r="42" spans="1:9" x14ac:dyDescent="0.25">
      <c r="A42" s="3" t="s">
        <v>163</v>
      </c>
      <c r="B42" s="14">
        <v>0</v>
      </c>
      <c r="C42" s="26">
        <v>0</v>
      </c>
      <c r="H42" s="29" t="s">
        <v>242</v>
      </c>
      <c r="I42" s="30">
        <v>10</v>
      </c>
    </row>
    <row r="43" spans="1:9" x14ac:dyDescent="0.25">
      <c r="A43" s="3" t="s">
        <v>164</v>
      </c>
      <c r="B43" s="14">
        <v>0</v>
      </c>
      <c r="C43" s="26">
        <v>0</v>
      </c>
    </row>
    <row r="44" spans="1:9" x14ac:dyDescent="0.25">
      <c r="A44" s="3" t="s">
        <v>165</v>
      </c>
      <c r="B44" s="14">
        <v>0</v>
      </c>
      <c r="C44" s="26">
        <v>0</v>
      </c>
    </row>
    <row r="45" spans="1:9" x14ac:dyDescent="0.25">
      <c r="A45" s="3" t="s">
        <v>166</v>
      </c>
      <c r="B45" s="14">
        <v>0</v>
      </c>
      <c r="C45" s="26">
        <v>0</v>
      </c>
    </row>
    <row r="46" spans="1:9" x14ac:dyDescent="0.25">
      <c r="A46" s="3" t="s">
        <v>167</v>
      </c>
      <c r="B46" s="14">
        <v>0</v>
      </c>
      <c r="C46" s="26">
        <v>0</v>
      </c>
    </row>
    <row r="47" spans="1:9" x14ac:dyDescent="0.25">
      <c r="A47" s="3" t="s">
        <v>168</v>
      </c>
      <c r="B47" s="14">
        <v>0</v>
      </c>
      <c r="C47" s="26">
        <v>0</v>
      </c>
    </row>
    <row r="48" spans="1:9" x14ac:dyDescent="0.25">
      <c r="A48" s="3" t="s">
        <v>169</v>
      </c>
      <c r="B48" s="14">
        <v>0</v>
      </c>
      <c r="C48" s="26">
        <v>0</v>
      </c>
    </row>
    <row r="49" spans="1:3" x14ac:dyDescent="0.25">
      <c r="A49" s="3" t="s">
        <v>170</v>
      </c>
      <c r="B49" s="14">
        <v>0</v>
      </c>
      <c r="C49" s="26">
        <v>0</v>
      </c>
    </row>
    <row r="50" spans="1:3" x14ac:dyDescent="0.25">
      <c r="A50" s="3" t="s">
        <v>171</v>
      </c>
      <c r="B50" s="14">
        <v>0</v>
      </c>
      <c r="C50" s="26">
        <v>0</v>
      </c>
    </row>
    <row r="51" spans="1:3" x14ac:dyDescent="0.25">
      <c r="A51" s="3" t="s">
        <v>172</v>
      </c>
      <c r="B51" s="14">
        <v>0</v>
      </c>
      <c r="C51" s="26">
        <v>0</v>
      </c>
    </row>
    <row r="52" spans="1:3" x14ac:dyDescent="0.25">
      <c r="A52" s="3" t="s">
        <v>173</v>
      </c>
      <c r="B52" s="14">
        <v>0</v>
      </c>
      <c r="C52" s="26">
        <v>0</v>
      </c>
    </row>
    <row r="53" spans="1:3" x14ac:dyDescent="0.25">
      <c r="A53" s="3" t="s">
        <v>174</v>
      </c>
      <c r="B53" s="14">
        <v>0</v>
      </c>
      <c r="C53" s="26">
        <v>0</v>
      </c>
    </row>
    <row r="54" spans="1:3" x14ac:dyDescent="0.25">
      <c r="A54" s="3" t="s">
        <v>175</v>
      </c>
      <c r="B54" s="14">
        <v>0</v>
      </c>
      <c r="C54" s="26">
        <v>0</v>
      </c>
    </row>
    <row r="55" spans="1:3" x14ac:dyDescent="0.25">
      <c r="A55" s="3" t="s">
        <v>176</v>
      </c>
      <c r="B55" s="14">
        <v>0</v>
      </c>
      <c r="C55" s="26">
        <v>0</v>
      </c>
    </row>
    <row r="56" spans="1:3" x14ac:dyDescent="0.25">
      <c r="A56" s="3" t="s">
        <v>177</v>
      </c>
      <c r="B56" s="14">
        <v>0</v>
      </c>
      <c r="C56" s="26">
        <v>0</v>
      </c>
    </row>
    <row r="57" spans="1:3" x14ac:dyDescent="0.25">
      <c r="A57" s="3" t="s">
        <v>178</v>
      </c>
      <c r="B57" s="14">
        <v>0</v>
      </c>
      <c r="C57" s="26">
        <v>0</v>
      </c>
    </row>
    <row r="58" spans="1:3" x14ac:dyDescent="0.25">
      <c r="A58" s="3" t="s">
        <v>179</v>
      </c>
      <c r="B58" s="14">
        <v>0</v>
      </c>
      <c r="C58" s="26">
        <v>0</v>
      </c>
    </row>
    <row r="59" spans="1:3" x14ac:dyDescent="0.25">
      <c r="A59" s="3" t="s">
        <v>180</v>
      </c>
      <c r="B59" s="14">
        <v>0</v>
      </c>
      <c r="C59" s="26">
        <v>0</v>
      </c>
    </row>
    <row r="60" spans="1:3" x14ac:dyDescent="0.25">
      <c r="A60" s="3" t="s">
        <v>181</v>
      </c>
      <c r="B60" s="14">
        <v>0</v>
      </c>
      <c r="C60" s="26">
        <v>0</v>
      </c>
    </row>
    <row r="61" spans="1:3" x14ac:dyDescent="0.25">
      <c r="A61" s="3" t="s">
        <v>182</v>
      </c>
      <c r="B61" s="14">
        <v>0</v>
      </c>
      <c r="C61" s="26">
        <v>0</v>
      </c>
    </row>
    <row r="62" spans="1:3" x14ac:dyDescent="0.25">
      <c r="A62" s="3" t="s">
        <v>183</v>
      </c>
      <c r="B62" s="14">
        <v>0</v>
      </c>
      <c r="C62" s="26">
        <v>0</v>
      </c>
    </row>
    <row r="63" spans="1:3" x14ac:dyDescent="0.25">
      <c r="A63" s="3" t="s">
        <v>184</v>
      </c>
      <c r="B63" s="14">
        <v>0</v>
      </c>
      <c r="C63" s="26">
        <v>0</v>
      </c>
    </row>
    <row r="64" spans="1:3" x14ac:dyDescent="0.25">
      <c r="A64" s="3" t="s">
        <v>186</v>
      </c>
      <c r="B64" s="14">
        <v>0</v>
      </c>
      <c r="C64" s="26">
        <v>0</v>
      </c>
    </row>
    <row r="65" spans="1:3" x14ac:dyDescent="0.25">
      <c r="A65" s="3" t="s">
        <v>187</v>
      </c>
      <c r="B65" s="14">
        <v>0</v>
      </c>
      <c r="C65" s="26">
        <v>0</v>
      </c>
    </row>
    <row r="66" spans="1:3" x14ac:dyDescent="0.25">
      <c r="A66" s="3" t="s">
        <v>188</v>
      </c>
      <c r="B66" s="14">
        <v>0</v>
      </c>
      <c r="C66" s="26">
        <v>0</v>
      </c>
    </row>
    <row r="67" spans="1:3" x14ac:dyDescent="0.25">
      <c r="A67" s="3" t="s">
        <v>189</v>
      </c>
      <c r="B67" s="14">
        <v>0</v>
      </c>
      <c r="C67" s="26">
        <v>0</v>
      </c>
    </row>
    <row r="68" spans="1:3" x14ac:dyDescent="0.25">
      <c r="A68" s="3" t="s">
        <v>190</v>
      </c>
      <c r="B68" s="14">
        <v>0</v>
      </c>
      <c r="C68" s="26">
        <v>0</v>
      </c>
    </row>
    <row r="69" spans="1:3" x14ac:dyDescent="0.25">
      <c r="A69" s="3" t="s">
        <v>191</v>
      </c>
      <c r="B69" s="14">
        <v>0</v>
      </c>
      <c r="C69" s="26">
        <v>0</v>
      </c>
    </row>
    <row r="70" spans="1:3" x14ac:dyDescent="0.25">
      <c r="A70" s="3" t="s">
        <v>192</v>
      </c>
      <c r="B70" s="14">
        <v>0</v>
      </c>
      <c r="C70" s="26">
        <v>0</v>
      </c>
    </row>
    <row r="71" spans="1:3" x14ac:dyDescent="0.25">
      <c r="A71" s="3" t="s">
        <v>193</v>
      </c>
      <c r="B71" s="14">
        <v>0</v>
      </c>
      <c r="C71" s="26">
        <v>0</v>
      </c>
    </row>
    <row r="72" spans="1:3" x14ac:dyDescent="0.25">
      <c r="A72" s="3" t="s">
        <v>194</v>
      </c>
      <c r="B72" s="14">
        <v>-2</v>
      </c>
      <c r="C72" s="26">
        <v>0</v>
      </c>
    </row>
    <row r="73" spans="1:3" x14ac:dyDescent="0.25">
      <c r="A73" s="3" t="s">
        <v>195</v>
      </c>
      <c r="B73" s="14">
        <v>0</v>
      </c>
      <c r="C73" s="26">
        <v>0</v>
      </c>
    </row>
    <row r="74" spans="1:3" x14ac:dyDescent="0.25">
      <c r="A74" s="3" t="s">
        <v>196</v>
      </c>
      <c r="B74" s="14">
        <v>0</v>
      </c>
      <c r="C74" s="26">
        <v>0</v>
      </c>
    </row>
    <row r="75" spans="1:3" x14ac:dyDescent="0.25">
      <c r="A75" s="3" t="s">
        <v>197</v>
      </c>
      <c r="B75" s="14">
        <v>0</v>
      </c>
      <c r="C75" s="26">
        <v>0</v>
      </c>
    </row>
    <row r="76" spans="1:3" x14ac:dyDescent="0.25">
      <c r="A76" s="3" t="s">
        <v>198</v>
      </c>
      <c r="B76" s="14">
        <v>0</v>
      </c>
      <c r="C76" s="26">
        <v>0</v>
      </c>
    </row>
    <row r="77" spans="1:3" x14ac:dyDescent="0.25">
      <c r="A77" s="3" t="s">
        <v>199</v>
      </c>
      <c r="B77" s="14">
        <v>4</v>
      </c>
      <c r="C77" s="26">
        <v>0</v>
      </c>
    </row>
    <row r="78" spans="1:3" x14ac:dyDescent="0.25">
      <c r="A78" s="3" t="s">
        <v>200</v>
      </c>
      <c r="B78" s="14">
        <v>0</v>
      </c>
      <c r="C78" s="26">
        <v>0</v>
      </c>
    </row>
    <row r="79" spans="1:3" x14ac:dyDescent="0.25">
      <c r="A79" s="3" t="s">
        <v>201</v>
      </c>
      <c r="B79" s="14">
        <v>0</v>
      </c>
      <c r="C79" s="26">
        <v>0</v>
      </c>
    </row>
    <row r="80" spans="1:3" x14ac:dyDescent="0.25">
      <c r="A80" s="3" t="s">
        <v>202</v>
      </c>
      <c r="B80" s="14">
        <v>0</v>
      </c>
      <c r="C80" s="26">
        <v>0</v>
      </c>
    </row>
    <row r="81" spans="1:3" x14ac:dyDescent="0.25">
      <c r="A81" s="3" t="s">
        <v>203</v>
      </c>
      <c r="B81" s="14">
        <v>0</v>
      </c>
      <c r="C81" s="26">
        <v>0</v>
      </c>
    </row>
    <row r="82" spans="1:3" x14ac:dyDescent="0.25">
      <c r="A82" s="3" t="s">
        <v>204</v>
      </c>
      <c r="B82" s="14">
        <v>-2</v>
      </c>
      <c r="C82" s="26">
        <v>0</v>
      </c>
    </row>
    <row r="83" spans="1:3" x14ac:dyDescent="0.25">
      <c r="A83" s="3" t="s">
        <v>205</v>
      </c>
      <c r="B83" s="14">
        <v>0</v>
      </c>
      <c r="C83" s="26">
        <v>0</v>
      </c>
    </row>
    <row r="84" spans="1:3" x14ac:dyDescent="0.25">
      <c r="A84" s="3" t="s">
        <v>207</v>
      </c>
      <c r="B84" s="14">
        <v>0</v>
      </c>
      <c r="C84" s="26">
        <v>0</v>
      </c>
    </row>
    <row r="85" spans="1:3" x14ac:dyDescent="0.25">
      <c r="A85" s="3" t="s">
        <v>208</v>
      </c>
      <c r="B85" s="14">
        <v>0</v>
      </c>
      <c r="C85" s="26">
        <v>0</v>
      </c>
    </row>
    <row r="86" spans="1:3" x14ac:dyDescent="0.25">
      <c r="A86" s="3" t="s">
        <v>209</v>
      </c>
      <c r="B86" s="14">
        <v>0</v>
      </c>
      <c r="C86" s="26">
        <v>0</v>
      </c>
    </row>
    <row r="87" spans="1:3" x14ac:dyDescent="0.25">
      <c r="A87" s="3" t="s">
        <v>210</v>
      </c>
      <c r="B87" s="14">
        <v>0</v>
      </c>
      <c r="C87" s="26">
        <v>0</v>
      </c>
    </row>
    <row r="88" spans="1:3" x14ac:dyDescent="0.25">
      <c r="A88" s="3" t="s">
        <v>211</v>
      </c>
      <c r="B88" s="14">
        <v>0</v>
      </c>
      <c r="C88" s="26">
        <v>0</v>
      </c>
    </row>
    <row r="89" spans="1:3" x14ac:dyDescent="0.25">
      <c r="A89" s="3" t="s">
        <v>213</v>
      </c>
      <c r="B89" s="14">
        <v>0</v>
      </c>
      <c r="C89" s="26">
        <v>0</v>
      </c>
    </row>
    <row r="90" spans="1:3" x14ac:dyDescent="0.25">
      <c r="A90" s="3" t="s">
        <v>214</v>
      </c>
      <c r="B90" s="14">
        <v>0</v>
      </c>
      <c r="C90" s="26">
        <v>0</v>
      </c>
    </row>
    <row r="91" spans="1:3" x14ac:dyDescent="0.25">
      <c r="A91" s="3" t="s">
        <v>215</v>
      </c>
      <c r="B91" s="14">
        <v>0</v>
      </c>
      <c r="C91" s="26">
        <v>0</v>
      </c>
    </row>
    <row r="92" spans="1:3" x14ac:dyDescent="0.25">
      <c r="A92" s="3" t="s">
        <v>216</v>
      </c>
      <c r="B92" s="14">
        <v>0</v>
      </c>
      <c r="C92" s="26">
        <v>0</v>
      </c>
    </row>
    <row r="93" spans="1:3" x14ac:dyDescent="0.25">
      <c r="A93" s="3" t="s">
        <v>217</v>
      </c>
      <c r="B93" s="14">
        <v>0</v>
      </c>
      <c r="C93" s="26">
        <v>0</v>
      </c>
    </row>
    <row r="94" spans="1:3" x14ac:dyDescent="0.25">
      <c r="A94" s="3" t="s">
        <v>218</v>
      </c>
      <c r="B94" s="14">
        <v>0</v>
      </c>
      <c r="C94" s="26">
        <v>0</v>
      </c>
    </row>
    <row r="95" spans="1:3" x14ac:dyDescent="0.25">
      <c r="A95" s="3" t="s">
        <v>219</v>
      </c>
      <c r="B95" s="14">
        <v>0</v>
      </c>
      <c r="C95" s="26">
        <v>0</v>
      </c>
    </row>
    <row r="96" spans="1:3" x14ac:dyDescent="0.25">
      <c r="A96" s="3" t="s">
        <v>220</v>
      </c>
      <c r="B96" s="14">
        <v>0</v>
      </c>
      <c r="C96" s="26">
        <v>0</v>
      </c>
    </row>
    <row r="97" spans="1:3" x14ac:dyDescent="0.25">
      <c r="A97" s="3" t="s">
        <v>222</v>
      </c>
      <c r="B97" s="14">
        <v>0</v>
      </c>
      <c r="C97" s="26">
        <v>0</v>
      </c>
    </row>
    <row r="98" spans="1:3" x14ac:dyDescent="0.25">
      <c r="A98" s="3" t="s">
        <v>223</v>
      </c>
      <c r="B98" s="14">
        <v>0</v>
      </c>
      <c r="C98" s="26">
        <v>0</v>
      </c>
    </row>
    <row r="99" spans="1:3" x14ac:dyDescent="0.25">
      <c r="A99" s="3" t="s">
        <v>224</v>
      </c>
      <c r="B99" s="14">
        <v>0</v>
      </c>
      <c r="C99" s="26">
        <v>0</v>
      </c>
    </row>
    <row r="100" spans="1:3" x14ac:dyDescent="0.25">
      <c r="A100" s="3" t="s">
        <v>225</v>
      </c>
      <c r="B100" s="14">
        <v>0</v>
      </c>
      <c r="C100" s="26">
        <v>0</v>
      </c>
    </row>
    <row r="101" spans="1:3" x14ac:dyDescent="0.25">
      <c r="A101" s="3" t="s">
        <v>226</v>
      </c>
      <c r="B101" s="14">
        <v>0</v>
      </c>
      <c r="C101" s="26">
        <v>0</v>
      </c>
    </row>
    <row r="102" spans="1:3" x14ac:dyDescent="0.25">
      <c r="A102" s="3" t="s">
        <v>227</v>
      </c>
      <c r="B102" s="14">
        <v>0</v>
      </c>
      <c r="C102" s="26">
        <v>0</v>
      </c>
    </row>
    <row r="103" spans="1:3" x14ac:dyDescent="0.25">
      <c r="A103" s="3" t="s">
        <v>228</v>
      </c>
      <c r="B103" s="14">
        <v>0</v>
      </c>
      <c r="C103" s="26">
        <v>0</v>
      </c>
    </row>
    <row r="104" spans="1:3" x14ac:dyDescent="0.25">
      <c r="A104" s="3" t="s">
        <v>229</v>
      </c>
      <c r="B104" s="14">
        <v>0</v>
      </c>
      <c r="C104" s="26">
        <v>0</v>
      </c>
    </row>
    <row r="105" spans="1:3" x14ac:dyDescent="0.25">
      <c r="A105" s="3" t="s">
        <v>230</v>
      </c>
      <c r="B105" s="14">
        <v>0</v>
      </c>
      <c r="C105" s="26">
        <v>0</v>
      </c>
    </row>
    <row r="106" spans="1:3" x14ac:dyDescent="0.25">
      <c r="A106" s="3" t="s">
        <v>231</v>
      </c>
      <c r="B106" s="14">
        <v>0</v>
      </c>
      <c r="C106" s="26">
        <v>0</v>
      </c>
    </row>
    <row r="107" spans="1:3" x14ac:dyDescent="0.25">
      <c r="A107" s="3" t="s">
        <v>232</v>
      </c>
      <c r="B107" s="14">
        <v>0</v>
      </c>
      <c r="C107" s="26">
        <v>0</v>
      </c>
    </row>
    <row r="108" spans="1:3" x14ac:dyDescent="0.25">
      <c r="A108" s="3" t="s">
        <v>233</v>
      </c>
      <c r="B108" s="14">
        <v>0</v>
      </c>
      <c r="C108" s="26">
        <v>0</v>
      </c>
    </row>
    <row r="109" spans="1:3" x14ac:dyDescent="0.25">
      <c r="A109" s="3" t="s">
        <v>234</v>
      </c>
      <c r="B109" s="14">
        <v>0</v>
      </c>
      <c r="C109" s="26">
        <v>0</v>
      </c>
    </row>
    <row r="110" spans="1:3" x14ac:dyDescent="0.25">
      <c r="A110" s="3" t="s">
        <v>235</v>
      </c>
      <c r="B110" s="14">
        <v>0</v>
      </c>
      <c r="C110" s="26">
        <v>0</v>
      </c>
    </row>
    <row r="111" spans="1:3" x14ac:dyDescent="0.25">
      <c r="A111" s="3" t="s">
        <v>188</v>
      </c>
      <c r="B111" s="14">
        <v>0</v>
      </c>
      <c r="C111" s="26">
        <v>0</v>
      </c>
    </row>
    <row r="112" spans="1:3" x14ac:dyDescent="0.25">
      <c r="A112" s="3" t="s">
        <v>236</v>
      </c>
      <c r="B112" s="14">
        <v>0</v>
      </c>
      <c r="C112" s="26">
        <v>0</v>
      </c>
    </row>
    <row r="113" spans="1:3" x14ac:dyDescent="0.25">
      <c r="A113" s="3" t="s">
        <v>237</v>
      </c>
      <c r="B113" s="14">
        <v>0</v>
      </c>
      <c r="C113" s="26">
        <v>0</v>
      </c>
    </row>
    <row r="114" spans="1:3" x14ac:dyDescent="0.25">
      <c r="A114" s="3" t="s">
        <v>238</v>
      </c>
      <c r="B114" s="14">
        <v>0</v>
      </c>
      <c r="C114" s="26">
        <v>0</v>
      </c>
    </row>
    <row r="115" spans="1:3" x14ac:dyDescent="0.25">
      <c r="A115" s="3" t="s">
        <v>239</v>
      </c>
      <c r="B115" s="14">
        <v>0</v>
      </c>
      <c r="C115" s="26">
        <v>0</v>
      </c>
    </row>
    <row r="116" spans="1:3" x14ac:dyDescent="0.25">
      <c r="A116" s="3" t="s">
        <v>221</v>
      </c>
      <c r="B116" s="14">
        <v>0</v>
      </c>
      <c r="C116" s="26">
        <v>-13.031097794100788</v>
      </c>
    </row>
    <row r="117" spans="1:3" x14ac:dyDescent="0.25">
      <c r="A117" s="3" t="s">
        <v>185</v>
      </c>
      <c r="B117" s="14">
        <v>0</v>
      </c>
      <c r="C117" s="26">
        <v>-64.083389020699542</v>
      </c>
    </row>
    <row r="118" spans="1:3" x14ac:dyDescent="0.25">
      <c r="A118" s="3" t="s">
        <v>206</v>
      </c>
      <c r="B118" s="14">
        <v>0</v>
      </c>
      <c r="C118" s="26">
        <v>-123.98065717089776</v>
      </c>
    </row>
    <row r="119" spans="1:3" x14ac:dyDescent="0.25">
      <c r="A119" s="3" t="s">
        <v>212</v>
      </c>
      <c r="B119" s="14">
        <v>0</v>
      </c>
      <c r="C119" s="26">
        <v>-163.25373397690055</v>
      </c>
    </row>
    <row r="120" spans="1:3" x14ac:dyDescent="0.25">
      <c r="A120" s="3" t="s">
        <v>240</v>
      </c>
      <c r="B120" s="14">
        <v>0</v>
      </c>
      <c r="C120" s="26">
        <v>-418.43566921399906</v>
      </c>
    </row>
  </sheetData>
  <sortState ref="A21:C120">
    <sortCondition descending="1" ref="C21:C120"/>
  </sortState>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Internal_Ledger</vt:lpstr>
      <vt:lpstr>Custodian_Statement</vt:lpstr>
      <vt:lpstr>Reconciliation</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2025-11-04T06:09:10Z</dcterms:created>
  <dcterms:modified xsi:type="dcterms:W3CDTF">2025-11-04T19:02:20Z</dcterms:modified>
</cp:coreProperties>
</file>